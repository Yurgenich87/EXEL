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PYTHON\EXEL\"/>
    </mc:Choice>
  </mc:AlternateContent>
  <xr:revisionPtr revIDLastSave="0" documentId="8_{6483A9C4-E6DD-4A3D-AC8F-8312E9DA2232}" xr6:coauthVersionLast="47" xr6:coauthVersionMax="47" xr10:uidLastSave="{00000000-0000-0000-0000-000000000000}"/>
  <bookViews>
    <workbookView xWindow="-120" yWindow="-120" windowWidth="29040" windowHeight="15720"/>
  </bookViews>
  <sheets>
    <sheet name="1" sheetId="1" r:id="rId1"/>
    <sheet name="2" sheetId="4" r:id="rId2"/>
    <sheet name="Шахматка (2)" sheetId="3" r:id="rId3"/>
    <sheet name="ВнЗВ" sheetId="2" r:id="rId4"/>
  </sheets>
  <functionGroups builtInGroupCount="19"/>
  <definedNames>
    <definedName name="_xlnm._FilterDatabase" localSheetId="0" hidden="1">'1'!$Y$13:$Y$56</definedName>
    <definedName name="_xlnm._FilterDatabase" localSheetId="2" hidden="1">'Шахматка (2)'!$A$13:$Y$61</definedName>
    <definedName name="ВнЗВВидРасч">ВнЗВ!$B$7</definedName>
    <definedName name="ВнЗВГод">ВнЗВ!$C$7</definedName>
    <definedName name="ВнЗВДетали">ВнЗВ!$7:$7</definedName>
    <definedName name="ВнЗВМесяц">ВнЗВ!$D$7</definedName>
    <definedName name="ВнЗВНазвание">ВнЗВ!$E$7</definedName>
    <definedName name="ВнЗВНП">ВнЗВ!$C$3</definedName>
    <definedName name="ВнЗВОП">ВнЗВ!$C$4</definedName>
    <definedName name="ВнЗВСумма">ВнЗВ!$F$7</definedName>
    <definedName name="ВнЗВФИО">ВнЗВ!$A$7</definedName>
    <definedName name="ГрупВыплат" localSheetId="2">'Шахматка (2)'!#REF!</definedName>
    <definedName name="ГрупВыплат">'1'!#REF!</definedName>
    <definedName name="ГРУПВЫПЛАТ.1" localSheetId="2">'Шахматка (2)'!$F:$F</definedName>
    <definedName name="ГРУПВЫПЛАТ.1">'1'!$F:$F</definedName>
    <definedName name="ГРУПВЫПЛАТ.10" localSheetId="2">'Шахматка (2)'!$Q:$Q</definedName>
    <definedName name="ГРУПВЫПЛАТ.10">'1'!$Q:$Q</definedName>
    <definedName name="ГРУПВЫПЛАТ.11" localSheetId="2">'Шахматка (2)'!$R:$R</definedName>
    <definedName name="ГРУПВЫПЛАТ.11">'1'!$R:$R</definedName>
    <definedName name="ГРУПВЫПЛАТ.12" localSheetId="2">'Шахматка (2)'!$V:$V</definedName>
    <definedName name="ГРУПВЫПЛАТ.12">'1'!$V:$V</definedName>
    <definedName name="ГРУПВЫПЛАТ.13" localSheetId="2">'Шахматка (2)'!$U:$U</definedName>
    <definedName name="ГРУПВЫПЛАТ.13">'1'!$U:$U</definedName>
    <definedName name="ГРУПВЫПЛАТ.14" localSheetId="2">'Шахматка (2)'!$W:$W</definedName>
    <definedName name="ГРУПВЫПЛАТ.14">'1'!$W:$W</definedName>
    <definedName name="ГРУПВЫПЛАТ.15" localSheetId="2">'Шахматка (2)'!$L:$L</definedName>
    <definedName name="ГРУПВЫПЛАТ.15">'1'!$L:$L</definedName>
    <definedName name="ГРУПВЫПЛАТ.16" localSheetId="2">'Шахматка (2)'!$M:$M</definedName>
    <definedName name="ГРУПВЫПЛАТ.16">'1'!$M:$M</definedName>
    <definedName name="ГРУПВЫПЛАТ.17" localSheetId="2">'Шахматка (2)'!$S:$S</definedName>
    <definedName name="ГРУПВЫПЛАТ.17">'1'!$S:$S</definedName>
    <definedName name="ГРУПВЫПЛАТ.18" localSheetId="2">'Шахматка (2)'!$X:$X</definedName>
    <definedName name="ГРУПВЫПЛАТ.18">'1'!$X:$X</definedName>
    <definedName name="ГРУПВЫПЛАТ.19" localSheetId="2">'Шахматка (2)'!$T:$T</definedName>
    <definedName name="ГРУПВЫПЛАТ.19">'1'!$T:$T</definedName>
    <definedName name="ГРУПВЫПЛАТ.2" localSheetId="2">'Шахматка (2)'!$G:$G</definedName>
    <definedName name="ГРУПВЫПЛАТ.2">'1'!$G:$G</definedName>
    <definedName name="ГРУПВЫПЛАТ.20" localSheetId="2">'Шахматка (2)'!$Z:$Z</definedName>
    <definedName name="ГРУПВЫПЛАТ.20">'1'!$Z:$Z</definedName>
    <definedName name="ГРУПВЫПЛАТ.21" localSheetId="2">'Шахматка (2)'!$AA:$AA</definedName>
    <definedName name="ГРУПВЫПЛАТ.21">'1'!$AA:$AA</definedName>
    <definedName name="ГРУПВЫПЛАТ.3" localSheetId="2">'Шахматка (2)'!$H:$H</definedName>
    <definedName name="ГРУПВЫПЛАТ.3">'1'!$H:$H</definedName>
    <definedName name="ГРУПВЫПЛАТ.4" localSheetId="2">'Шахматка (2)'!$I:$I</definedName>
    <definedName name="ГРУПВЫПЛАТ.4">'1'!$I:$I</definedName>
    <definedName name="ГРУПВЫПЛАТ.5" localSheetId="2">'Шахматка (2)'!$J:$J</definedName>
    <definedName name="ГРУПВЫПЛАТ.5">'1'!$J:$J</definedName>
    <definedName name="ГРУПВЫПЛАТ.6" localSheetId="2">'Шахматка (2)'!$K:$K</definedName>
    <definedName name="ГРУПВЫПЛАТ.6">'1'!$K:$K</definedName>
    <definedName name="ГРУПВЫПЛАТ.7" localSheetId="2">'Шахматка (2)'!$O:$O</definedName>
    <definedName name="ГРУПВЫПЛАТ.7">'1'!$O:$O</definedName>
    <definedName name="ГРУПВЫПЛАТ.8" localSheetId="2">'Шахматка (2)'!$N:$N</definedName>
    <definedName name="ГРУПВЫПЛАТ.8">'1'!$N:$N</definedName>
    <definedName name="ГРУПВЫПЛАТ.9" localSheetId="2">'Шахматка (2)'!$P:$P</definedName>
    <definedName name="ГРУПВЫПЛАТ.9">'1'!$P:$P</definedName>
    <definedName name="Детали" localSheetId="2">'Шахматка (2)'!#REF!</definedName>
    <definedName name="Детали">'1'!#REF!</definedName>
    <definedName name="ДЕТАЛИ.1" localSheetId="2">'Шахматка (2)'!$14:$14</definedName>
    <definedName name="ДЕТАЛИ.1">'1'!$14:$14</definedName>
    <definedName name="ДЕТАЛИ.10" localSheetId="2">'Шахматка (2)'!$23:$23</definedName>
    <definedName name="ДЕТАЛИ.10">'1'!$23:$23</definedName>
    <definedName name="ДЕТАЛИ.11" localSheetId="2">'Шахматка (2)'!$24:$24</definedName>
    <definedName name="ДЕТАЛИ.11">'1'!#REF!</definedName>
    <definedName name="ДЕТАЛИ.12" localSheetId="2">'Шахматка (2)'!$25:$25</definedName>
    <definedName name="ДЕТАЛИ.12">'1'!$24:$24</definedName>
    <definedName name="ДЕТАЛИ.13" localSheetId="2">'Шахматка (2)'!$26:$26</definedName>
    <definedName name="ДЕТАЛИ.13">'1'!$25:$25</definedName>
    <definedName name="ДЕТАЛИ.14" localSheetId="2">'Шахматка (2)'!$27:$27</definedName>
    <definedName name="ДЕТАЛИ.14">'1'!$26:$26</definedName>
    <definedName name="ДЕТАЛИ.15" localSheetId="2">'Шахматка (2)'!$28:$28</definedName>
    <definedName name="ДЕТАЛИ.15">'1'!$27:$27</definedName>
    <definedName name="ДЕТАЛИ.16" localSheetId="2">'Шахматка (2)'!$29:$29</definedName>
    <definedName name="ДЕТАЛИ.16">'1'!$28:$28</definedName>
    <definedName name="ДЕТАЛИ.17" localSheetId="2">'Шахматка (2)'!$30:$30</definedName>
    <definedName name="ДЕТАЛИ.17">'1'!$29:$29</definedName>
    <definedName name="ДЕТАЛИ.18" localSheetId="2">'Шахматка (2)'!$31:$31</definedName>
    <definedName name="ДЕТАЛИ.18">'1'!$30:$30</definedName>
    <definedName name="ДЕТАЛИ.19" localSheetId="2">'Шахматка (2)'!$32:$32</definedName>
    <definedName name="ДЕТАЛИ.19">'1'!$31:$31</definedName>
    <definedName name="ДЕТАЛИ.2" localSheetId="2">'Шахматка (2)'!$15:$15</definedName>
    <definedName name="ДЕТАЛИ.2">'1'!$15:$15</definedName>
    <definedName name="ДЕТАЛИ.20" localSheetId="2">'Шахматка (2)'!$33:$33</definedName>
    <definedName name="ДЕТАЛИ.20">'1'!$32:$32</definedName>
    <definedName name="ДЕТАЛИ.21" localSheetId="2">'Шахматка (2)'!$34:$34</definedName>
    <definedName name="ДЕТАЛИ.21">'1'!#REF!</definedName>
    <definedName name="ДЕТАЛИ.22" localSheetId="2">'Шахматка (2)'!$35:$35</definedName>
    <definedName name="ДЕТАЛИ.22">'1'!#REF!</definedName>
    <definedName name="ДЕТАЛИ.23" localSheetId="2">'Шахматка (2)'!$36:$36</definedName>
    <definedName name="ДЕТАЛИ.23">'1'!$33:$33</definedName>
    <definedName name="ДЕТАЛИ.24" localSheetId="2">'Шахматка (2)'!$37:$37</definedName>
    <definedName name="ДЕТАЛИ.24">'1'!$34:$34</definedName>
    <definedName name="ДЕТАЛИ.25" localSheetId="2">'Шахматка (2)'!$38:$38</definedName>
    <definedName name="ДЕТАЛИ.25">'1'!$35:$35</definedName>
    <definedName name="ДЕТАЛИ.26" localSheetId="2">'Шахматка (2)'!$39:$39</definedName>
    <definedName name="ДЕТАЛИ.26">'1'!$36:$36</definedName>
    <definedName name="ДЕТАЛИ.27" localSheetId="2">'Шахматка (2)'!$40:$40</definedName>
    <definedName name="ДЕТАЛИ.27">'1'!$37:$37</definedName>
    <definedName name="ДЕТАЛИ.28" localSheetId="2">'Шахматка (2)'!$41:$41</definedName>
    <definedName name="ДЕТАЛИ.28">'1'!$38:$38</definedName>
    <definedName name="ДЕТАЛИ.29" localSheetId="2">'Шахматка (2)'!$42:$42</definedName>
    <definedName name="ДЕТАЛИ.29">'1'!$39:$39</definedName>
    <definedName name="ДЕТАЛИ.3" localSheetId="2">'Шахматка (2)'!$16:$16</definedName>
    <definedName name="ДЕТАЛИ.3">'1'!$16:$16</definedName>
    <definedName name="ДЕТАЛИ.30" localSheetId="2">'Шахматка (2)'!$43:$43</definedName>
    <definedName name="ДЕТАЛИ.30">'1'!$40:$40</definedName>
    <definedName name="ДЕТАЛИ.31" localSheetId="2">'Шахматка (2)'!$44:$44</definedName>
    <definedName name="ДЕТАЛИ.31">'1'!$41:$41</definedName>
    <definedName name="ДЕТАЛИ.32" localSheetId="2">'Шахматка (2)'!$45:$45</definedName>
    <definedName name="ДЕТАЛИ.32">'1'!$42:$42</definedName>
    <definedName name="ДЕТАЛИ.33" localSheetId="2">'Шахматка (2)'!$46:$46</definedName>
    <definedName name="ДЕТАЛИ.33">'1'!$43:$43</definedName>
    <definedName name="ДЕТАЛИ.34" localSheetId="2">'Шахматка (2)'!$47:$47</definedName>
    <definedName name="ДЕТАЛИ.34">'1'!$44:$44</definedName>
    <definedName name="ДЕТАЛИ.35" localSheetId="2">'Шахматка (2)'!$48:$48</definedName>
    <definedName name="ДЕТАЛИ.35">'1'!$45:$45</definedName>
    <definedName name="ДЕТАЛИ.36" localSheetId="2">'Шахматка (2)'!$49:$49</definedName>
    <definedName name="ДЕТАЛИ.36">'1'!$46:$46</definedName>
    <definedName name="ДЕТАЛИ.37" localSheetId="2">'Шахматка (2)'!$50:$50</definedName>
    <definedName name="ДЕТАЛИ.37">'1'!$47:$47</definedName>
    <definedName name="ДЕТАЛИ.38" localSheetId="2">'Шахматка (2)'!$51:$51</definedName>
    <definedName name="ДЕТАЛИ.38">'1'!$48:$48</definedName>
    <definedName name="ДЕТАЛИ.39" localSheetId="2">'Шахматка (2)'!$52:$52</definedName>
    <definedName name="ДЕТАЛИ.39">'1'!$49:$49</definedName>
    <definedName name="ДЕТАЛИ.4" localSheetId="2">'Шахматка (2)'!$17:$17</definedName>
    <definedName name="ДЕТАЛИ.4">'1'!$17:$17</definedName>
    <definedName name="ДЕТАЛИ.40" localSheetId="2">'Шахматка (2)'!$53:$53</definedName>
    <definedName name="ДЕТАЛИ.40">'1'!$50:$50</definedName>
    <definedName name="ДЕТАЛИ.41" localSheetId="2">'Шахматка (2)'!$54:$54</definedName>
    <definedName name="ДЕТАЛИ.41">'1'!$51:$51</definedName>
    <definedName name="ДЕТАЛИ.42" localSheetId="2">'Шахматка (2)'!$55:$55</definedName>
    <definedName name="ДЕТАЛИ.42">'1'!#REF!</definedName>
    <definedName name="ДЕТАЛИ.43" localSheetId="2">'Шахматка (2)'!$56:$56</definedName>
    <definedName name="ДЕТАЛИ.43">'1'!$52:$52</definedName>
    <definedName name="ДЕТАЛИ.44" localSheetId="2">'Шахматка (2)'!$57:$57</definedName>
    <definedName name="ДЕТАЛИ.44">'1'!$53:$53</definedName>
    <definedName name="ДЕТАЛИ.45" localSheetId="2">'Шахматка (2)'!$59:$59</definedName>
    <definedName name="ДЕТАЛИ.45">'1'!$55:$55</definedName>
    <definedName name="ДЕТАЛИ.46" localSheetId="2">'Шахматка (2)'!$58:$58</definedName>
    <definedName name="ДЕТАЛИ.46">'1'!$54:$54</definedName>
    <definedName name="ДЕТАЛИ.47" localSheetId="2">'Шахматка (2)'!$60:$60</definedName>
    <definedName name="ДЕТАЛИ.47">'1'!#REF!</definedName>
    <definedName name="ДЕТАЛИ.5" localSheetId="2">'Шахматка (2)'!$18:$18</definedName>
    <definedName name="ДЕТАЛИ.5">'1'!$18:$18</definedName>
    <definedName name="ДЕТАЛИ.6" localSheetId="2">'Шахматка (2)'!$19:$19</definedName>
    <definedName name="ДЕТАЛИ.6">'1'!$19:$19</definedName>
    <definedName name="ДЕТАЛИ.7" localSheetId="2">'Шахматка (2)'!$20:$20</definedName>
    <definedName name="ДЕТАЛИ.7">'1'!$20:$20</definedName>
    <definedName name="ДЕТАЛИ.8" localSheetId="2">'Шахматка (2)'!$21:$21</definedName>
    <definedName name="ДЕТАЛИ.8">'1'!$21:$21</definedName>
    <definedName name="ДЕТАЛИ.9" localSheetId="2">'Шахматка (2)'!$22:$22</definedName>
    <definedName name="ДЕТАЛИ.9">'1'!$22:$22</definedName>
    <definedName name="ИмяКол" localSheetId="2">'Шахматка (2)'!#REF!</definedName>
    <definedName name="ИмяКол">'1'!#REF!</definedName>
    <definedName name="ИмяПодгр" localSheetId="2">'Шахматка (2)'!#REF!</definedName>
    <definedName name="ИмяПодгр">'1'!#REF!</definedName>
    <definedName name="Итого" localSheetId="2">'Шахматка (2)'!$Y$61</definedName>
    <definedName name="Итого">'1'!$Y$56</definedName>
    <definedName name="ИтогоКол" localSheetId="2">'Шахматка (2)'!#REF!</definedName>
    <definedName name="ИтогоКол">'1'!#REF!</definedName>
    <definedName name="ИтогоОснИсп" localSheetId="2">'Шахматка (2)'!$E$61</definedName>
    <definedName name="ИтогоОснИсп">'1'!$E$56</definedName>
    <definedName name="ИтогоСотр" localSheetId="2">'Шахматка (2)'!$D$61</definedName>
    <definedName name="ИтогоСотр">'1'!$D$56</definedName>
    <definedName name="ИтогоСтавок" localSheetId="2">'Шахматка (2)'!$C$61</definedName>
    <definedName name="ИтогоСтавок">'1'!$C$56</definedName>
    <definedName name="ИтогоСтр" localSheetId="2">'Шахматка (2)'!#REF!</definedName>
    <definedName name="ИтогоСтр">'1'!#REF!</definedName>
    <definedName name="КолОснИсп" localSheetId="2">'Шахматка (2)'!#REF!</definedName>
    <definedName name="КолОснИсп">'1'!#REF!</definedName>
    <definedName name="КолСотр" localSheetId="2">'Шахматка (2)'!#REF!</definedName>
    <definedName name="КолСотр">'1'!#REF!</definedName>
    <definedName name="КолСтавок" localSheetId="2">'Шахматка (2)'!#REF!</definedName>
    <definedName name="КолСтавок">'1'!#REF!</definedName>
    <definedName name="Номер" localSheetId="2">'Шахматка (2)'!#REF!</definedName>
    <definedName name="Номер">'1'!#REF!</definedName>
    <definedName name="НомКол" localSheetId="2">'Шахматка (2)'!#REF!</definedName>
    <definedName name="НомКол">'1'!#REF!</definedName>
    <definedName name="ПодгрИтоги" localSheetId="2">'Шахматка (2)'!#REF!</definedName>
    <definedName name="ПодгрИтоги">'1'!#REF!</definedName>
    <definedName name="Подгруппа" localSheetId="2">'Шахматка (2)'!#REF!</definedName>
    <definedName name="Подгруппа">'1'!#REF!</definedName>
    <definedName name="СумКол" localSheetId="2">'Шахматка (2)'!#REF!</definedName>
    <definedName name="СумКол">'1'!#REF!</definedName>
    <definedName name="Сумма" localSheetId="2">'Шахматка (2)'!#REF!</definedName>
    <definedName name="Сумма">'1'!#REF!</definedName>
    <definedName name="СумНаим" localSheetId="2">'Шахматка (2)'!#REF!</definedName>
    <definedName name="СумНаим">'1'!#REF!</definedName>
    <definedName name="СумОснИсп" localSheetId="2">'Шахматка (2)'!#REF!</definedName>
    <definedName name="СумОснИсп">'1'!#REF!</definedName>
    <definedName name="СумСотр" localSheetId="2">'Шахматка (2)'!#REF!</definedName>
    <definedName name="СумСотр">'1'!#REF!</definedName>
    <definedName name="СумСтавок" localSheetId="2">'Шахматка (2)'!#REF!</definedName>
    <definedName name="СумСтавок">'1'!#REF!</definedName>
    <definedName name="СумСтр" localSheetId="2">'Шахматка (2)'!#REF!</definedName>
    <definedName name="СумСтр">'1'!#REF!</definedName>
    <definedName name="ФИО" localSheetId="2">'Шахматка (2)'!#REF!</definedName>
    <definedName name="ФИО">'1'!#REF!</definedName>
    <definedName name="ФПВидамРасчетов" localSheetId="2">'Шахматка (2)'!$A$7</definedName>
    <definedName name="ФПВидамРасчетов">'1'!$A$7</definedName>
    <definedName name="ФПВыплатам" localSheetId="2">'Шахматка (2)'!$A$4</definedName>
    <definedName name="ФПВыплатам">'1'!$A$4</definedName>
    <definedName name="ФПГрупИспДолж" localSheetId="2">'Шахматка (2)'!$A$8</definedName>
    <definedName name="ФПГрупИспДолж">'1'!$A$8</definedName>
    <definedName name="ФПГруппамВыплат" localSheetId="2">'Шахматка (2)'!$A$5</definedName>
    <definedName name="ФПГруппамВыплат">'1'!$A$5</definedName>
    <definedName name="ФПГруппировкаВыплат" localSheetId="2">'Шахматка (2)'!$A$6</definedName>
    <definedName name="ФПГруппировкаВыплат">'1'!$A$6</definedName>
    <definedName name="ФППериодВ" localSheetId="2">'Шахматка (2)'!$A$1</definedName>
    <definedName name="ФППериодВ">'1'!$A$1</definedName>
    <definedName name="ФППериодЗА" localSheetId="2">'Шахматка (2)'!$A$2</definedName>
    <definedName name="ФППериодЗА">'1'!$A$2</definedName>
    <definedName name="ФППО" localSheetId="2">'Шахматка (2)'!$A$3</definedName>
    <definedName name="ФППО">'1'!$A$3</definedName>
    <definedName name="ФППромИтоги" localSheetId="2">'Шахматка (2)'!$A$10</definedName>
    <definedName name="ФППромИтоги">'1'!$A$10</definedName>
    <definedName name="ФПЧасДни" localSheetId="2">'Шахматка (2)'!$A$9</definedName>
    <definedName name="ФПЧасДни">'1'!$A$9</definedName>
  </definedNames>
  <calcPr calcId="191029" fullCalcOnLoad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60" i="3" l="1"/>
  <c r="F60" i="3"/>
  <c r="Y58" i="3"/>
  <c r="F58" i="3"/>
  <c r="Y56" i="3"/>
  <c r="F56" i="3"/>
  <c r="Y55" i="3"/>
  <c r="F55" i="3"/>
  <c r="Y54" i="3"/>
  <c r="F54" i="3"/>
  <c r="Y53" i="3"/>
  <c r="F53" i="3"/>
  <c r="Y51" i="3"/>
  <c r="F51" i="3"/>
  <c r="Y49" i="3"/>
  <c r="F49" i="3"/>
  <c r="Y48" i="3"/>
  <c r="F48" i="3"/>
  <c r="Y47" i="3"/>
  <c r="F47" i="3"/>
  <c r="Y45" i="3"/>
  <c r="F45" i="3"/>
  <c r="Y44" i="3"/>
  <c r="F44" i="3"/>
  <c r="Y43" i="3"/>
  <c r="F43" i="3"/>
  <c r="Y42" i="3"/>
  <c r="F42" i="3"/>
  <c r="Y40" i="3"/>
  <c r="F40" i="3"/>
  <c r="Y38" i="3"/>
  <c r="F38" i="3"/>
  <c r="Y36" i="3"/>
  <c r="F36" i="3"/>
  <c r="Y35" i="3"/>
  <c r="F35" i="3"/>
  <c r="Y34" i="3"/>
  <c r="F34" i="3"/>
  <c r="Y33" i="3"/>
  <c r="F33" i="3"/>
  <c r="Y32" i="3"/>
  <c r="F32" i="3"/>
  <c r="Y31" i="3"/>
  <c r="F31" i="3"/>
  <c r="Y30" i="3"/>
  <c r="F30" i="3"/>
  <c r="Y29" i="3"/>
  <c r="F29" i="3"/>
  <c r="Y27" i="3"/>
  <c r="F27" i="3"/>
  <c r="Y25" i="3"/>
  <c r="F25" i="3"/>
  <c r="Y24" i="3"/>
  <c r="F24" i="3"/>
  <c r="Y22" i="3"/>
  <c r="F22" i="3"/>
  <c r="Y21" i="3"/>
  <c r="F21" i="3"/>
  <c r="Y20" i="3"/>
  <c r="F20" i="3"/>
  <c r="Y18" i="3"/>
  <c r="F18" i="3"/>
  <c r="Y17" i="3"/>
  <c r="F17" i="3"/>
  <c r="Y16" i="3"/>
  <c r="F16" i="3"/>
  <c r="Y15" i="3"/>
  <c r="Y11" i="3"/>
  <c r="AC11" i="3"/>
  <c r="F15" i="3"/>
  <c r="Y14" i="3"/>
  <c r="F14" i="3"/>
  <c r="F11" i="3"/>
  <c r="AA11" i="3"/>
  <c r="Z11" i="3"/>
  <c r="X11" i="3"/>
  <c r="W11" i="3"/>
  <c r="W1" i="3"/>
  <c r="V11" i="3"/>
  <c r="U11" i="3"/>
  <c r="T11" i="3"/>
  <c r="S11" i="3"/>
  <c r="S1" i="3"/>
  <c r="R11" i="3"/>
  <c r="Q11" i="3"/>
  <c r="P11" i="3"/>
  <c r="O11" i="3"/>
  <c r="N11" i="3"/>
  <c r="N1" i="3"/>
  <c r="M11" i="3"/>
  <c r="L11" i="3"/>
  <c r="K11" i="3"/>
  <c r="J11" i="3"/>
  <c r="I11" i="3"/>
  <c r="H11" i="3"/>
  <c r="E11" i="3"/>
  <c r="C11" i="3"/>
  <c r="Y37" i="1"/>
  <c r="Y54" i="1"/>
  <c r="Y52" i="1"/>
  <c r="Y48" i="1"/>
  <c r="Y46" i="1"/>
  <c r="Y42" i="1"/>
  <c r="Y35" i="1"/>
  <c r="Y33" i="1"/>
  <c r="Y26" i="1"/>
  <c r="Y24" i="1"/>
  <c r="Y22" i="1"/>
  <c r="Y18" i="1"/>
  <c r="F50" i="1"/>
  <c r="F37" i="1"/>
  <c r="F29" i="1"/>
  <c r="F26" i="1"/>
  <c r="F54" i="1"/>
  <c r="F52" i="1"/>
  <c r="F48" i="1"/>
  <c r="F46" i="1"/>
  <c r="F45" i="1"/>
  <c r="F42" i="1"/>
  <c r="F41" i="1"/>
  <c r="F40" i="1"/>
  <c r="F35" i="1"/>
  <c r="F33" i="1"/>
  <c r="F32" i="1"/>
  <c r="F24" i="1"/>
  <c r="F22" i="1"/>
  <c r="F21" i="1"/>
  <c r="F20" i="1"/>
  <c r="F18" i="1"/>
  <c r="F16" i="1"/>
  <c r="F51" i="1"/>
  <c r="F44" i="1"/>
  <c r="F39" i="1"/>
  <c r="F31" i="1"/>
  <c r="F30" i="1"/>
  <c r="F28" i="1"/>
  <c r="F17" i="1"/>
  <c r="F15" i="1"/>
  <c r="F14" i="1"/>
  <c r="C11" i="1"/>
  <c r="E11" i="1"/>
  <c r="Y15" i="1"/>
  <c r="Y16" i="1"/>
  <c r="Y17" i="1"/>
  <c r="Y20" i="1"/>
  <c r="Y21" i="1"/>
  <c r="Y28" i="1"/>
  <c r="Y29" i="1"/>
  <c r="Y30" i="1"/>
  <c r="Y31" i="1"/>
  <c r="Y32" i="1"/>
  <c r="Y39" i="1"/>
  <c r="Y40" i="1"/>
  <c r="Y41" i="1"/>
  <c r="Y44" i="1"/>
  <c r="Y45" i="1"/>
  <c r="Y50" i="1"/>
  <c r="Y51" i="1"/>
  <c r="Y14" i="1"/>
  <c r="I11" i="1"/>
  <c r="J11" i="1"/>
  <c r="K11" i="1"/>
  <c r="L11" i="1"/>
  <c r="M11" i="1"/>
  <c r="N11" i="1"/>
  <c r="O11" i="1"/>
  <c r="P11" i="1"/>
  <c r="Q11" i="1"/>
  <c r="R11" i="1"/>
  <c r="S11" i="1"/>
  <c r="T11" i="1"/>
  <c r="V11" i="1"/>
  <c r="U11" i="1"/>
  <c r="W11" i="1"/>
  <c r="X11" i="1"/>
  <c r="Z11" i="1"/>
  <c r="AA11" i="1"/>
  <c r="H11" i="1"/>
  <c r="N1" i="1"/>
  <c r="F11" i="1"/>
  <c r="W1" i="1"/>
  <c r="Y11" i="1"/>
  <c r="AC11" i="1"/>
  <c r="S1" i="1"/>
  <c r="Y1" i="1"/>
</calcChain>
</file>

<file path=xl/sharedStrings.xml><?xml version="1.0" encoding="utf-8"?>
<sst xmlns="http://schemas.openxmlformats.org/spreadsheetml/2006/main" count="265" uniqueCount="101">
  <si>
    <t>ФИО</t>
  </si>
  <si>
    <t>Итого</t>
  </si>
  <si>
    <t>№</t>
  </si>
  <si>
    <t>Выплаты не закрытые ведомостью</t>
  </si>
  <si>
    <t>Вид расчета</t>
  </si>
  <si>
    <t>Год</t>
  </si>
  <si>
    <t>Месяц</t>
  </si>
  <si>
    <t>Название</t>
  </si>
  <si>
    <t>Сумма</t>
  </si>
  <si>
    <t>Начало периода:</t>
  </si>
  <si>
    <t>Окончание периода:</t>
  </si>
  <si>
    <t>Кол-во сотрудников</t>
  </si>
  <si>
    <t>Кол-во ставок</t>
  </si>
  <si>
    <t>Кол-во основных исполнений</t>
  </si>
  <si>
    <t>Период В с: 01.01.2023 по: 31.01.2023</t>
  </si>
  <si>
    <t xml:space="preserve">Период ЗА с:  по: </t>
  </si>
  <si>
    <t>По: Начислениям, Без конфиденциальных выплат</t>
  </si>
  <si>
    <t xml:space="preserve">По выплатам: </t>
  </si>
  <si>
    <t xml:space="preserve">По группам выплат: </t>
  </si>
  <si>
    <t>Группировка выплат: Мнемокоды выплат и удержаний</t>
  </si>
  <si>
    <t xml:space="preserve">По видам расчетов: </t>
  </si>
  <si>
    <t>Группировка исполнений должностей: Исполнение должности</t>
  </si>
  <si>
    <t>В днях</t>
  </si>
  <si>
    <t xml:space="preserve">Промежуточные итоги по: </t>
  </si>
  <si>
    <t>Норма</t>
  </si>
  <si>
    <t>Факт</t>
  </si>
  <si>
    <t>Оклад</t>
  </si>
  <si>
    <t>Часы</t>
  </si>
  <si>
    <t>ПерсКоэф</t>
  </si>
  <si>
    <t>Совмещение</t>
  </si>
  <si>
    <t>Вредность</t>
  </si>
  <si>
    <t>Совмещение МОП</t>
  </si>
  <si>
    <t>Праздничные</t>
  </si>
  <si>
    <t>Ночные</t>
  </si>
  <si>
    <t>Вечерние</t>
  </si>
  <si>
    <t>СФ Интенсивность сум</t>
  </si>
  <si>
    <t>СФ Баллы Суммой</t>
  </si>
  <si>
    <t>ЕжемВыплСтимХарактер</t>
  </si>
  <si>
    <t>Замена Восп</t>
  </si>
  <si>
    <t>Замена УВП</t>
  </si>
  <si>
    <t>Доплата до МРОТ РФ</t>
  </si>
  <si>
    <t>РК</t>
  </si>
  <si>
    <t>ОТПУСК</t>
  </si>
  <si>
    <t>БЛ с/с</t>
  </si>
  <si>
    <t>Уход за дет_инв13</t>
  </si>
  <si>
    <t>БЫЧКОВА ТАТЬЯНА ВАСИЛЬЕВНА (Ц-4851 Воспитатель ВК)</t>
  </si>
  <si>
    <t>ГОЛУБЧИКОВА ЕЛИЗАВЕТА АЛЕКСАНДРОВНА (Ц-5027 Воспитатель ВК)</t>
  </si>
  <si>
    <t>ГОЛУБЧИКОВА НАТАЛЬЯ ГЕННАДЬЕВНА (ДС 212-27 Сторож)</t>
  </si>
  <si>
    <t>ГУБАРЕВА ЕЛЕНА АЛЕКСАНДРОВНА (Ц-4845 Воспитатель ВК)</t>
  </si>
  <si>
    <t>Давыдова Татьяна Александровна (Ц-ОООО12215 Младший воспитатель)</t>
  </si>
  <si>
    <t>Давыдова Татьяна Александровна (Ц-0ОООО15759 Младший воспитатель)</t>
  </si>
  <si>
    <t>Дубовицкая Екатерина Анатольевна (ДС 212-14 Специалист по закупкам)</t>
  </si>
  <si>
    <t>ДУБОВИЦКАЯ НАДЕЖДА НИКОЛАЕВНА (Ц-4774 Заведующий)</t>
  </si>
  <si>
    <t>ЕРМАКОВА НАТАЛИЯ МИХАЙЛОВНА (ДС 212-46 Младший воспитатель)</t>
  </si>
  <si>
    <t>ЕРМАКОВА НАТАЛИЯ МИХАЙЛОВНА (ДС 212-51 Младший воспитатель)</t>
  </si>
  <si>
    <t>ЕФРЕМОВА ДАРЬЯ ВИКТОРОВНА (ДС 212-39 Старшая медицинская сестра БК)</t>
  </si>
  <si>
    <t>Иванова Галина Петровна (ДС 212-62 Кладовщик)</t>
  </si>
  <si>
    <t>Иванова Галина Петровна (ДС 212-70 Вахтёр)</t>
  </si>
  <si>
    <t>ИВАШИНА ЮЛИЯ АЛЕКСАНДРОВНА (Ц-0ОООО14794 Старший воспитатель ВК)</t>
  </si>
  <si>
    <t>ИВАШИНА ЮЛИЯ АЛЕКСАНДРОВНА (Ц-0ОООО22890 Машинист по стирке и ремонту спецодежды)</t>
  </si>
  <si>
    <t>Ильенко Ксения Валерьевна (ДС 212-23 Воспитатель 1К)</t>
  </si>
  <si>
    <t>КАЗАНЦЕВА ЛЮБОВЬ НИКОЛАЕВНА (Ц-4775 Педагог-психолог первой категории)</t>
  </si>
  <si>
    <t>Карташова Юлия Андреевна (Ц-0ОООО22030 Воспитатель БК)</t>
  </si>
  <si>
    <t>Кизилова Диана Артемовна (ДС 212-66 Младший воспитатель)</t>
  </si>
  <si>
    <t>КЛИВИНСКИЙ НИКОЛАЙ ЮРЬЕВИЧ (ДС 212-56 Сторож)</t>
  </si>
  <si>
    <t>КЛИМЕНКО ТАМАРА СЕРГЕЕВНА (ДС 212-47 Машинист по стирке и ремонту спецодежды)</t>
  </si>
  <si>
    <t>Коновалова Юлия Александровна (ДС 212-35 Кастелянша)</t>
  </si>
  <si>
    <t>КОСЫХ МИНЕЗАКИЯ ШАМИЛЬЕВНА (ДС 212-49 Повар)</t>
  </si>
  <si>
    <t>КОСЫХ МИНЕЗАКИЯ ШАМИЛЬЕВНА (ДС 212-74 Повар, выполняющий обязанности шеф-повара)</t>
  </si>
  <si>
    <t>КУДАШКИНА НАДЕЖДА ЮРЬЕВНА (Ц-4949 Повар)</t>
  </si>
  <si>
    <t>КУДАШКИНА НАДЕЖДА ЮРЬЕВНА (Ц-0ОООО22753 Повар)</t>
  </si>
  <si>
    <t>ЛУКИНА НАТАЛЬЯ АЛЕКСАНДРОВНА (Ц-0ОООО23230 Воспитатель ВК)</t>
  </si>
  <si>
    <t>ЛУКИНА НАТАЛЬЯ АЛЕКСАНДРОВНА (Ц-0ОООО24491 Инструктор по физ.культуре высшей категории)</t>
  </si>
  <si>
    <t>Макарова Анастасия Сергеевна (ДС 212-26 Воспитатель 1К)</t>
  </si>
  <si>
    <t>МИНАЕВА НАТАЛЬЯ ВАСИЛЬЕВНА (ДС 212-75 Вахтёр)</t>
  </si>
  <si>
    <t>МИНАЕВА НАТАЛЬЯ ВАСИЛЬЕВНА (ДС 212-77 Сторож)</t>
  </si>
  <si>
    <t>ПЛЮХИНА МАРИНА АНАТОЛЬЕВНА (ДС 212-20 Младший воспитатель)</t>
  </si>
  <si>
    <t>ПЛЮХИНА МАРИНА АНАТОЛЬЕВНА (ДС 212-36 Младший воспитатель)</t>
  </si>
  <si>
    <t>ПОПОВА АНАСТАСИЯ СЕРГЕЕВНА (Ц-7920 Воспитатель ВК)</t>
  </si>
  <si>
    <t>ПОПОВА ОЛЬГА СЕРГЕЕВНА (ДС 212-45 Сторож)</t>
  </si>
  <si>
    <t>ПОРХАЧЕВА ЛЮБОВЬ ВЛАДИМИРОВНА (ДС 212-69 Уборщик помещений)</t>
  </si>
  <si>
    <t>ПОРХАЧЕВА ЛЮБОВЬ ВЛАДИМИРОВНА (ДС 212-76 Младший воспитатель)</t>
  </si>
  <si>
    <t>САВЕЛЬЕВА НАТАЛИЯ АЛЕКСЕЕВНА (Ц-0ОООО25565 Заведующий хозяйством)</t>
  </si>
  <si>
    <t>САВЕЛЬЕВА НАТАЛИЯ АЛЕКСЕЕВНА (Ц-0ОООО27163 Младший воспитатель)</t>
  </si>
  <si>
    <t>САМОХОТОВА НАТАЛЬЯ ФЕДОРОВНА (Ц-7392 Музыкальный руководитель первой категории)</t>
  </si>
  <si>
    <t>СИМОШИНА АЛИНА СЕРГЕЕВНА (ДС 212-2 Воспитатель 1К)</t>
  </si>
  <si>
    <t>Скворцова Марина Сергеевна (ДС 212-42 Врач-специалист)</t>
  </si>
  <si>
    <t>ТИХОНОВА АННА ОЛЕГОВНА (ДС 212-72 Младший воспитатель)</t>
  </si>
  <si>
    <t>ТИХОНОВА АННА ОЛЕГОВНА (ДС 212-73 Младший воспитатель)</t>
  </si>
  <si>
    <t>Яковлев Игорь Юрьевич (ДС 212-63 Дворник)</t>
  </si>
  <si>
    <t>Яковлев Игорь Юрьевич (ДС 212-71 Дворник)</t>
  </si>
  <si>
    <t>ЯЛЫНЫЧЕВ АЛЕКСАНДР ВЛАДИМИРОВИЧ (ДС 212-25 Рабочий по обслуживанию зданий 4р.)</t>
  </si>
  <si>
    <t>713 д. / 0 ч.</t>
  </si>
  <si>
    <t>увп</t>
  </si>
  <si>
    <t>оп</t>
  </si>
  <si>
    <t>пр пп</t>
  </si>
  <si>
    <t>завед</t>
  </si>
  <si>
    <t>восп</t>
  </si>
  <si>
    <t>м/с с</t>
  </si>
  <si>
    <t>врач с</t>
  </si>
  <si>
    <t>оп 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</si>
</sst>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0"/>
      <name val="Arial Cyr"/>
      <charset val="204"/>
    </font>
    <font>
      <b/>
      <sz val="10"/>
      <name val="Arial Cyr"/>
      <charset val="204"/>
    </font>
    <font>
      <sz val="12"/>
      <name val="Arial Cyr"/>
      <charset val="204"/>
    </font>
    <font>
      <sz val="9"/>
      <name val="Arial Cyr"/>
      <charset val="204"/>
    </font>
    <font>
      <b/>
      <sz val="12"/>
      <name val="Arial Cyr"/>
      <family val="2"/>
      <charset val="204"/>
    </font>
    <font>
      <b/>
      <sz val="8"/>
      <name val="Arial Cyr"/>
      <family val="2"/>
      <charset val="204"/>
    </font>
    <font>
      <b/>
      <sz val="8"/>
      <name val="Arial Cyr"/>
      <charset val="204"/>
    </font>
    <font>
      <b/>
      <sz val="12"/>
      <color indexed="18"/>
      <name val="Arial Cyr"/>
      <charset val="204"/>
    </font>
    <font>
      <b/>
      <sz val="10"/>
      <color indexed="60"/>
      <name val="Arial Cyr"/>
      <charset val="204"/>
    </font>
    <font>
      <b/>
      <sz val="10"/>
      <color indexed="17"/>
      <name val="Arial Cyr"/>
      <charset val="204"/>
    </font>
    <font>
      <b/>
      <sz val="10"/>
      <color indexed="20"/>
      <name val="Arial Cyr"/>
      <charset val="204"/>
    </font>
    <font>
      <b/>
      <sz val="10"/>
      <color indexed="10"/>
      <name val="Arial Cyr"/>
      <charset val="204"/>
    </font>
    <font>
      <b/>
      <sz val="10"/>
      <color indexed="19"/>
      <name val="Arial Cyr"/>
      <charset val="204"/>
    </font>
    <font>
      <u/>
      <sz val="9"/>
      <color indexed="60"/>
      <name val="Arial Cyr"/>
      <charset val="204"/>
    </font>
    <font>
      <b/>
      <sz val="14"/>
      <name val="Arial Cyr"/>
      <charset val="204"/>
    </font>
    <font>
      <sz val="8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Fill="1" applyBorder="1" applyAlignment="1"/>
    <xf numFmtId="0" fontId="1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Fill="1" applyBorder="1"/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0" fillId="0" borderId="1" xfId="0" applyFill="1" applyBorder="1" applyAlignment="1"/>
    <xf numFmtId="0" fontId="7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3" fillId="3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0" fillId="0" borderId="2" xfId="0" applyBorder="1"/>
    <xf numFmtId="0" fontId="14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0" xfId="0" applyFont="1" applyFill="1" applyBorder="1" applyAlignment="1">
      <alignment horizontal="right"/>
    </xf>
    <xf numFmtId="0" fontId="1" fillId="0" borderId="2" xfId="0" applyFont="1" applyBorder="1" applyAlignment="1">
      <alignment horizontal="center"/>
    </xf>
    <xf numFmtId="0" fontId="3" fillId="3" borderId="2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right"/>
    </xf>
    <xf numFmtId="0" fontId="1" fillId="4" borderId="3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right"/>
    </xf>
    <xf numFmtId="4" fontId="4" fillId="0" borderId="0" xfId="0" applyNumberFormat="1" applyFont="1" applyFill="1" applyBorder="1" applyAlignment="1">
      <alignment horizontal="left" vertical="center"/>
    </xf>
    <xf numFmtId="4" fontId="0" fillId="0" borderId="0" xfId="0" applyNumberFormat="1" applyFill="1" applyBorder="1" applyAlignment="1">
      <alignment vertical="center"/>
    </xf>
    <xf numFmtId="4" fontId="1" fillId="0" borderId="0" xfId="0" applyNumberFormat="1" applyFont="1" applyFill="1" applyBorder="1" applyAlignment="1">
      <alignment horizontal="left" vertical="center"/>
    </xf>
    <xf numFmtId="4" fontId="0" fillId="0" borderId="0" xfId="0" applyNumberFormat="1" applyFill="1" applyBorder="1" applyAlignment="1"/>
    <xf numFmtId="4" fontId="1" fillId="2" borderId="2" xfId="0" applyNumberFormat="1" applyFont="1" applyFill="1" applyBorder="1" applyAlignment="1">
      <alignment horizontal="center" vertical="center" wrapText="1"/>
    </xf>
    <xf numFmtId="4" fontId="1" fillId="2" borderId="2" xfId="0" applyNumberFormat="1" applyFont="1" applyFill="1" applyBorder="1" applyAlignment="1">
      <alignment horizontal="center" vertical="center"/>
    </xf>
    <xf numFmtId="4" fontId="5" fillId="2" borderId="2" xfId="0" applyNumberFormat="1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right"/>
    </xf>
    <xf numFmtId="4" fontId="3" fillId="0" borderId="2" xfId="0" applyNumberFormat="1" applyFont="1" applyFill="1" applyBorder="1" applyAlignment="1">
      <alignment horizontal="center" vertical="center"/>
    </xf>
    <xf numFmtId="4" fontId="1" fillId="4" borderId="3" xfId="0" applyNumberFormat="1" applyFont="1" applyFill="1" applyBorder="1" applyAlignment="1">
      <alignment horizontal="center"/>
    </xf>
    <xf numFmtId="4" fontId="1" fillId="4" borderId="2" xfId="0" applyNumberFormat="1" applyFont="1" applyFill="1" applyBorder="1" applyAlignment="1">
      <alignment horizontal="center"/>
    </xf>
    <xf numFmtId="4" fontId="2" fillId="0" borderId="0" xfId="0" applyNumberFormat="1" applyFont="1" applyFill="1" applyBorder="1"/>
    <xf numFmtId="4" fontId="0" fillId="0" borderId="0" xfId="0" applyNumberFormat="1" applyFill="1" applyBorder="1"/>
    <xf numFmtId="4" fontId="1" fillId="0" borderId="1" xfId="0" applyNumberFormat="1" applyFont="1" applyFill="1" applyBorder="1" applyAlignment="1"/>
    <xf numFmtId="4" fontId="1" fillId="5" borderId="2" xfId="0" applyNumberFormat="1" applyFont="1" applyFill="1" applyBorder="1" applyAlignment="1">
      <alignment horizontal="center" vertical="center" wrapText="1"/>
    </xf>
    <xf numFmtId="4" fontId="1" fillId="6" borderId="2" xfId="0" applyNumberFormat="1" applyFont="1" applyFill="1" applyBorder="1" applyAlignment="1">
      <alignment horizontal="center" vertical="center" wrapText="1"/>
    </xf>
    <xf numFmtId="4" fontId="1" fillId="7" borderId="2" xfId="0" applyNumberFormat="1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left" vertical="center"/>
    </xf>
    <xf numFmtId="4" fontId="1" fillId="0" borderId="0" xfId="0" applyNumberFormat="1" applyFont="1" applyFill="1" applyBorder="1" applyAlignment="1"/>
    <xf numFmtId="0" fontId="0" fillId="0" borderId="0" xfId="0" applyAlignment="1">
      <alignment wrapText="1"/>
    </xf>
  </cellXfs>
  <cellStyles count="1">
    <cellStyle name="Обычный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C59"/>
  <sheetViews>
    <sheetView showZeros="0" tabSelected="1" workbookViewId="0">
      <pane xSplit="7" ySplit="13" topLeftCell="U14" activePane="bottomRight" state="frozen"/>
      <selection pane="topRight" activeCell="H1" sqref="H1"/>
      <selection pane="bottomLeft" activeCell="A14" sqref="A14"/>
      <selection pane="bottomRight" activeCell="Y18" sqref="Y18"/>
    </sheetView>
  </sheetViews>
  <sheetFormatPr defaultRowHeight="12.75" customHeight="1" x14ac:dyDescent="0.2"/>
  <cols>
    <col min="1" max="1" width="4.7109375" style="5" customWidth="1"/>
    <col min="2" max="2" width="84" style="5" customWidth="1"/>
    <col min="3" max="3" width="7.28515625" style="5" bestFit="1" customWidth="1"/>
    <col min="4" max="5" width="7.28515625" style="5" customWidth="1"/>
    <col min="6" max="6" width="10.28515625" style="5" customWidth="1"/>
    <col min="7" max="7" width="5" style="5" customWidth="1"/>
    <col min="8" max="10" width="10" style="45" customWidth="1"/>
    <col min="11" max="13" width="16.85546875" style="45" hidden="1" customWidth="1"/>
    <col min="14" max="14" width="11.5703125" style="45" customWidth="1"/>
    <col min="15" max="18" width="16.85546875" style="45" hidden="1" customWidth="1"/>
    <col min="19" max="19" width="13.5703125" style="45" customWidth="1"/>
    <col min="20" max="20" width="12.28515625" style="45" customWidth="1"/>
    <col min="21" max="21" width="16.85546875" style="45" customWidth="1"/>
    <col min="22" max="22" width="16.85546875" style="45" hidden="1" customWidth="1"/>
    <col min="23" max="23" width="16.85546875" style="45" customWidth="1"/>
    <col min="24" max="24" width="13.140625" style="45" customWidth="1"/>
    <col min="25" max="25" width="14" style="45" customWidth="1"/>
    <col min="26" max="27" width="16.85546875" style="45" customWidth="1"/>
    <col min="28" max="16384" width="9.140625" style="5"/>
  </cols>
  <sheetData>
    <row r="1" spans="1:29" s="7" customFormat="1" ht="15.75" x14ac:dyDescent="0.2">
      <c r="A1" s="7" t="s">
        <v>14</v>
      </c>
      <c r="B1" s="11"/>
      <c r="C1" s="11"/>
      <c r="D1" s="11"/>
      <c r="E1" s="11"/>
      <c r="F1" s="9"/>
      <c r="G1" s="9"/>
      <c r="H1" s="33"/>
      <c r="I1" s="33"/>
      <c r="J1" s="33"/>
      <c r="K1" s="33"/>
      <c r="L1" s="33"/>
      <c r="M1" s="33"/>
      <c r="N1" s="33">
        <f>N11+M11+L11+K11</f>
        <v>58985.16</v>
      </c>
      <c r="O1" s="33"/>
      <c r="P1" s="33"/>
      <c r="Q1" s="33"/>
      <c r="R1" s="33"/>
      <c r="S1" s="33">
        <f>S11+R11+Q11+P11+O11</f>
        <v>156960.54</v>
      </c>
      <c r="T1" s="33"/>
      <c r="U1" s="33"/>
      <c r="V1" s="33"/>
      <c r="W1" s="33">
        <f>W11+V11</f>
        <v>44954.47</v>
      </c>
      <c r="X1" s="33"/>
      <c r="Y1" s="34">
        <f>Y11</f>
        <v>850301.17999999993</v>
      </c>
      <c r="Z1" s="33"/>
      <c r="AA1" s="33"/>
    </row>
    <row r="2" spans="1:29" s="7" customFormat="1" x14ac:dyDescent="0.2">
      <c r="A2" s="7" t="s">
        <v>15</v>
      </c>
      <c r="B2" s="12"/>
      <c r="C2" s="12"/>
      <c r="D2" s="12"/>
      <c r="E2" s="12"/>
      <c r="F2" s="8"/>
      <c r="G2" s="8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4"/>
      <c r="Z2" s="35"/>
      <c r="AA2" s="35"/>
    </row>
    <row r="3" spans="1:29" s="7" customFormat="1" x14ac:dyDescent="0.2">
      <c r="A3" s="7" t="s">
        <v>16</v>
      </c>
      <c r="B3" s="13"/>
      <c r="C3" s="13"/>
      <c r="D3" s="13"/>
      <c r="E3" s="13"/>
      <c r="F3" s="8"/>
      <c r="G3" s="8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4"/>
      <c r="Z3" s="35"/>
      <c r="AA3" s="35"/>
    </row>
    <row r="4" spans="1:29" s="7" customFormat="1" x14ac:dyDescent="0.2">
      <c r="A4" s="7" t="s">
        <v>17</v>
      </c>
      <c r="B4" s="14"/>
      <c r="C4" s="14"/>
      <c r="D4" s="14"/>
      <c r="E4" s="14"/>
      <c r="F4" s="8"/>
      <c r="G4" s="8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4"/>
      <c r="Z4" s="35"/>
      <c r="AA4" s="35"/>
    </row>
    <row r="5" spans="1:29" s="7" customFormat="1" x14ac:dyDescent="0.2">
      <c r="A5" s="7" t="s">
        <v>18</v>
      </c>
      <c r="B5" s="15"/>
      <c r="C5" s="15"/>
      <c r="D5" s="15"/>
      <c r="E5" s="15"/>
      <c r="F5" s="8"/>
      <c r="G5" s="8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4"/>
      <c r="Z5" s="35"/>
      <c r="AA5" s="35"/>
    </row>
    <row r="6" spans="1:29" s="7" customFormat="1" x14ac:dyDescent="0.2">
      <c r="A6" s="7" t="s">
        <v>19</v>
      </c>
      <c r="B6" s="16"/>
      <c r="C6" s="16"/>
      <c r="D6" s="16"/>
      <c r="E6" s="16"/>
      <c r="F6" s="8"/>
      <c r="G6" s="8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4"/>
      <c r="Z6" s="35"/>
      <c r="AA6" s="35"/>
    </row>
    <row r="7" spans="1:29" s="1" customFormat="1" x14ac:dyDescent="0.2">
      <c r="A7" s="1" t="s">
        <v>20</v>
      </c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</row>
    <row r="8" spans="1:29" s="1" customFormat="1" x14ac:dyDescent="0.2">
      <c r="A8" s="1" t="s">
        <v>21</v>
      </c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</row>
    <row r="9" spans="1:29" s="1" customFormat="1" x14ac:dyDescent="0.2">
      <c r="A9" s="1" t="s">
        <v>22</v>
      </c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</row>
    <row r="10" spans="1:29" s="1" customFormat="1" x14ac:dyDescent="0.2">
      <c r="A10" s="1" t="s">
        <v>23</v>
      </c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</row>
    <row r="11" spans="1:29" s="1" customFormat="1" x14ac:dyDescent="0.2">
      <c r="B11" s="20"/>
      <c r="C11" s="46">
        <f>SUBTOTAL(9,C14:C55)</f>
        <v>32.700000000000003</v>
      </c>
      <c r="D11" s="20"/>
      <c r="E11" s="46">
        <f>SUBTOTAL(9,E14:E55)</f>
        <v>30</v>
      </c>
      <c r="F11" s="46">
        <f>SUBTOTAL(9,F14:F55)</f>
        <v>3012.7999999999997</v>
      </c>
      <c r="G11" s="10"/>
      <c r="H11" s="46">
        <f t="shared" ref="H11:AA11" si="0">SUBTOTAL(9,H14:H55)</f>
        <v>310349.04999999993</v>
      </c>
      <c r="I11" s="46">
        <f t="shared" si="0"/>
        <v>4583.67</v>
      </c>
      <c r="J11" s="46">
        <f t="shared" si="0"/>
        <v>49996</v>
      </c>
      <c r="K11" s="46">
        <f t="shared" si="0"/>
        <v>2440.79</v>
      </c>
      <c r="L11" s="46">
        <f t="shared" si="0"/>
        <v>50541.25</v>
      </c>
      <c r="M11" s="46">
        <f t="shared" si="0"/>
        <v>1484.21</v>
      </c>
      <c r="N11" s="46">
        <f t="shared" si="0"/>
        <v>4518.91</v>
      </c>
      <c r="O11" s="46">
        <f t="shared" si="0"/>
        <v>1026.19</v>
      </c>
      <c r="P11" s="46">
        <f t="shared" si="0"/>
        <v>2619.25</v>
      </c>
      <c r="Q11" s="46">
        <f t="shared" si="0"/>
        <v>2706.55</v>
      </c>
      <c r="R11" s="46">
        <f t="shared" si="0"/>
        <v>578.41999999999996</v>
      </c>
      <c r="S11" s="46">
        <f t="shared" si="0"/>
        <v>150030.13</v>
      </c>
      <c r="T11" s="46">
        <f t="shared" si="0"/>
        <v>4525.22</v>
      </c>
      <c r="U11" s="46">
        <f t="shared" si="0"/>
        <v>24768</v>
      </c>
      <c r="V11" s="46">
        <f t="shared" si="0"/>
        <v>20000</v>
      </c>
      <c r="W11" s="46">
        <f t="shared" si="0"/>
        <v>24954.47</v>
      </c>
      <c r="X11" s="46">
        <f t="shared" si="0"/>
        <v>195179.07</v>
      </c>
      <c r="Y11" s="46">
        <f t="shared" si="0"/>
        <v>850301.17999999993</v>
      </c>
      <c r="Z11" s="46">
        <f t="shared" si="0"/>
        <v>6411.14</v>
      </c>
      <c r="AA11" s="46">
        <f t="shared" si="0"/>
        <v>7236.88</v>
      </c>
      <c r="AC11" s="51">
        <f>Y11/E11</f>
        <v>28343.372666666666</v>
      </c>
    </row>
    <row r="12" spans="1:29" s="2" customFormat="1" ht="63.75" x14ac:dyDescent="0.2">
      <c r="A12" s="17" t="s">
        <v>2</v>
      </c>
      <c r="B12" s="17" t="s">
        <v>0</v>
      </c>
      <c r="C12" s="17" t="s">
        <v>12</v>
      </c>
      <c r="D12" s="17" t="s">
        <v>11</v>
      </c>
      <c r="E12" s="17" t="s">
        <v>13</v>
      </c>
      <c r="F12" s="17" t="s">
        <v>24</v>
      </c>
      <c r="G12" s="17" t="s">
        <v>25</v>
      </c>
      <c r="H12" s="37" t="s">
        <v>26</v>
      </c>
      <c r="I12" s="37" t="s">
        <v>27</v>
      </c>
      <c r="J12" s="37" t="s">
        <v>28</v>
      </c>
      <c r="K12" s="37" t="s">
        <v>29</v>
      </c>
      <c r="L12" s="37" t="s">
        <v>38</v>
      </c>
      <c r="M12" s="37" t="s">
        <v>39</v>
      </c>
      <c r="N12" s="49" t="s">
        <v>31</v>
      </c>
      <c r="O12" s="37" t="s">
        <v>30</v>
      </c>
      <c r="P12" s="37" t="s">
        <v>32</v>
      </c>
      <c r="Q12" s="37" t="s">
        <v>33</v>
      </c>
      <c r="R12" s="37" t="s">
        <v>34</v>
      </c>
      <c r="S12" s="48" t="s">
        <v>40</v>
      </c>
      <c r="T12" s="37" t="s">
        <v>42</v>
      </c>
      <c r="U12" s="47" t="s">
        <v>36</v>
      </c>
      <c r="V12" s="47" t="s">
        <v>35</v>
      </c>
      <c r="W12" s="47" t="s">
        <v>37</v>
      </c>
      <c r="X12" s="37" t="s">
        <v>41</v>
      </c>
      <c r="Y12" s="38" t="s">
        <v>1</v>
      </c>
      <c r="Z12" s="37" t="s">
        <v>43</v>
      </c>
      <c r="AA12" s="37" t="s">
        <v>44</v>
      </c>
    </row>
    <row r="13" spans="1:29" s="6" customFormat="1" x14ac:dyDescent="0.2">
      <c r="A13" s="18">
        <v>1</v>
      </c>
      <c r="B13" s="18">
        <v>2</v>
      </c>
      <c r="C13" s="18">
        <v>3</v>
      </c>
      <c r="D13" s="18">
        <v>4</v>
      </c>
      <c r="E13" s="18">
        <v>5</v>
      </c>
      <c r="F13" s="19">
        <v>6</v>
      </c>
      <c r="G13" s="19">
        <v>7</v>
      </c>
      <c r="H13" s="39">
        <v>8</v>
      </c>
      <c r="I13" s="39">
        <v>9</v>
      </c>
      <c r="J13" s="39">
        <v>10</v>
      </c>
      <c r="K13" s="39">
        <v>11</v>
      </c>
      <c r="L13" s="39">
        <v>20</v>
      </c>
      <c r="M13" s="39">
        <v>21</v>
      </c>
      <c r="N13" s="39">
        <v>13</v>
      </c>
      <c r="O13" s="39">
        <v>12</v>
      </c>
      <c r="P13" s="39">
        <v>14</v>
      </c>
      <c r="Q13" s="39">
        <v>15</v>
      </c>
      <c r="R13" s="39">
        <v>16</v>
      </c>
      <c r="S13" s="39">
        <v>22</v>
      </c>
      <c r="T13" s="39">
        <v>24</v>
      </c>
      <c r="U13" s="39">
        <v>18</v>
      </c>
      <c r="V13" s="39">
        <v>17</v>
      </c>
      <c r="W13" s="39">
        <v>19</v>
      </c>
      <c r="X13" s="39">
        <v>23</v>
      </c>
      <c r="Y13" s="40"/>
      <c r="Z13" s="39">
        <v>25</v>
      </c>
      <c r="AA13" s="39">
        <v>26</v>
      </c>
    </row>
    <row r="14" spans="1:29" s="3" customFormat="1" x14ac:dyDescent="0.2">
      <c r="A14" s="21">
        <v>1</v>
      </c>
      <c r="B14" s="28" t="s">
        <v>45</v>
      </c>
      <c r="C14" s="21">
        <v>1</v>
      </c>
      <c r="D14" s="21" t="s">
        <v>97</v>
      </c>
      <c r="E14" s="21">
        <v>1</v>
      </c>
      <c r="F14" s="22">
        <f>30/5*G14</f>
        <v>102</v>
      </c>
      <c r="G14" s="22">
        <v>17</v>
      </c>
      <c r="H14" s="41">
        <v>20218.75</v>
      </c>
      <c r="I14" s="41"/>
      <c r="J14" s="41"/>
      <c r="K14" s="41"/>
      <c r="L14" s="41">
        <v>16069.45</v>
      </c>
      <c r="M14" s="41"/>
      <c r="N14" s="41"/>
      <c r="O14" s="41"/>
      <c r="P14" s="41"/>
      <c r="Q14" s="41"/>
      <c r="R14" s="41"/>
      <c r="S14" s="41"/>
      <c r="T14" s="41"/>
      <c r="U14" s="41">
        <v>2304</v>
      </c>
      <c r="V14" s="41">
        <v>1700</v>
      </c>
      <c r="W14" s="41">
        <v>1885</v>
      </c>
      <c r="X14" s="41">
        <v>12653.16</v>
      </c>
      <c r="Y14" s="40">
        <f>SUM(H14:X14)</f>
        <v>54830.36</v>
      </c>
      <c r="Z14" s="41"/>
      <c r="AA14" s="41"/>
    </row>
    <row r="15" spans="1:29" s="3" customFormat="1" x14ac:dyDescent="0.2">
      <c r="A15" s="21">
        <v>2</v>
      </c>
      <c r="B15" s="28" t="s">
        <v>46</v>
      </c>
      <c r="C15" s="21">
        <v>1</v>
      </c>
      <c r="D15" s="21" t="s">
        <v>97</v>
      </c>
      <c r="E15" s="21">
        <v>1</v>
      </c>
      <c r="F15" s="22">
        <f>30/5*G15</f>
        <v>102</v>
      </c>
      <c r="G15" s="22">
        <v>17</v>
      </c>
      <c r="H15" s="41">
        <v>20218.75</v>
      </c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>
        <v>2448</v>
      </c>
      <c r="V15" s="41">
        <v>1700</v>
      </c>
      <c r="W15" s="41">
        <v>1885</v>
      </c>
      <c r="X15" s="41">
        <v>7875.53</v>
      </c>
      <c r="Y15" s="40">
        <f>SUM(H15:X15)</f>
        <v>34127.279999999999</v>
      </c>
      <c r="Z15" s="41"/>
      <c r="AA15" s="41"/>
    </row>
    <row r="16" spans="1:29" s="3" customFormat="1" x14ac:dyDescent="0.2">
      <c r="A16" s="21">
        <v>3</v>
      </c>
      <c r="B16" s="28" t="s">
        <v>47</v>
      </c>
      <c r="C16" s="21">
        <v>1</v>
      </c>
      <c r="D16" s="21" t="s">
        <v>94</v>
      </c>
      <c r="E16" s="21">
        <v>1</v>
      </c>
      <c r="F16" s="22">
        <f>40/5*G16*C16</f>
        <v>136</v>
      </c>
      <c r="G16" s="22">
        <v>17</v>
      </c>
      <c r="H16" s="41"/>
      <c r="I16" s="41">
        <v>4583.67</v>
      </c>
      <c r="J16" s="41"/>
      <c r="K16" s="41"/>
      <c r="L16" s="41"/>
      <c r="M16" s="41"/>
      <c r="N16" s="41"/>
      <c r="O16" s="41"/>
      <c r="P16" s="41">
        <v>654.80999999999995</v>
      </c>
      <c r="Q16" s="41">
        <v>873.08</v>
      </c>
      <c r="R16" s="41">
        <v>185.53</v>
      </c>
      <c r="S16" s="41">
        <v>11472.8</v>
      </c>
      <c r="T16" s="41"/>
      <c r="U16" s="41"/>
      <c r="V16" s="41"/>
      <c r="W16" s="41"/>
      <c r="X16" s="41">
        <v>5330.96</v>
      </c>
      <c r="Y16" s="40">
        <f>SUM(H16:X16)</f>
        <v>23100.85</v>
      </c>
      <c r="Z16" s="41"/>
      <c r="AA16" s="41"/>
    </row>
    <row r="17" spans="1:27" s="3" customFormat="1" x14ac:dyDescent="0.2">
      <c r="A17" s="21">
        <v>4</v>
      </c>
      <c r="B17" s="28" t="s">
        <v>48</v>
      </c>
      <c r="C17" s="21">
        <v>1</v>
      </c>
      <c r="D17" s="21" t="s">
        <v>97</v>
      </c>
      <c r="E17" s="21">
        <v>1</v>
      </c>
      <c r="F17" s="22">
        <f>30/5*G17</f>
        <v>102</v>
      </c>
      <c r="G17" s="22">
        <v>17</v>
      </c>
      <c r="H17" s="41">
        <v>20218.75</v>
      </c>
      <c r="I17" s="41"/>
      <c r="J17" s="41"/>
      <c r="K17" s="41"/>
      <c r="L17" s="41">
        <v>16069.45</v>
      </c>
      <c r="M17" s="41"/>
      <c r="N17" s="41"/>
      <c r="O17" s="41"/>
      <c r="P17" s="41"/>
      <c r="Q17" s="41"/>
      <c r="R17" s="41"/>
      <c r="S17" s="41"/>
      <c r="T17" s="41"/>
      <c r="U17" s="41">
        <v>2544</v>
      </c>
      <c r="V17" s="41">
        <v>900</v>
      </c>
      <c r="W17" s="41">
        <v>1885</v>
      </c>
      <c r="X17" s="41">
        <v>12485.16</v>
      </c>
      <c r="Y17" s="40">
        <f>SUM(H17:X17)</f>
        <v>54102.36</v>
      </c>
      <c r="Z17" s="41"/>
      <c r="AA17" s="41"/>
    </row>
    <row r="18" spans="1:27" s="3" customFormat="1" x14ac:dyDescent="0.2">
      <c r="A18" s="21">
        <v>5</v>
      </c>
      <c r="B18" s="50" t="s">
        <v>49</v>
      </c>
      <c r="C18" s="21">
        <v>1</v>
      </c>
      <c r="D18" s="21" t="s">
        <v>93</v>
      </c>
      <c r="E18" s="21">
        <v>1</v>
      </c>
      <c r="F18" s="22">
        <f>40/5*G18*C18</f>
        <v>136</v>
      </c>
      <c r="G18" s="22">
        <v>17</v>
      </c>
      <c r="H18" s="41">
        <v>8410</v>
      </c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>
        <v>5947</v>
      </c>
      <c r="T18" s="41"/>
      <c r="U18" s="41"/>
      <c r="V18" s="41"/>
      <c r="W18" s="41">
        <v>1885</v>
      </c>
      <c r="X18" s="41">
        <v>4872.6000000000004</v>
      </c>
      <c r="Y18" s="40">
        <f>SUM(H18:X18)+10557.3</f>
        <v>31671.899999999998</v>
      </c>
      <c r="Z18" s="41"/>
      <c r="AA18" s="41"/>
    </row>
    <row r="19" spans="1:27" s="3" customFormat="1" x14ac:dyDescent="0.2">
      <c r="A19" s="21">
        <v>6</v>
      </c>
      <c r="B19" s="50" t="s">
        <v>50</v>
      </c>
      <c r="C19" s="21">
        <v>0.5</v>
      </c>
      <c r="D19" s="21" t="s">
        <v>93</v>
      </c>
      <c r="E19" s="21">
        <v>0</v>
      </c>
      <c r="F19" s="22"/>
      <c r="G19" s="22">
        <v>17</v>
      </c>
      <c r="H19" s="41">
        <v>4205</v>
      </c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>
        <v>3916</v>
      </c>
      <c r="T19" s="41"/>
      <c r="U19" s="41"/>
      <c r="V19" s="41"/>
      <c r="W19" s="41"/>
      <c r="X19" s="41">
        <v>2436.3000000000002</v>
      </c>
      <c r="Y19" s="40"/>
      <c r="Z19" s="41"/>
      <c r="AA19" s="41"/>
    </row>
    <row r="20" spans="1:27" s="3" customFormat="1" x14ac:dyDescent="0.2">
      <c r="A20" s="21">
        <v>7</v>
      </c>
      <c r="B20" s="28" t="s">
        <v>51</v>
      </c>
      <c r="C20" s="21">
        <v>1</v>
      </c>
      <c r="D20" s="21" t="s">
        <v>93</v>
      </c>
      <c r="E20" s="21">
        <v>1</v>
      </c>
      <c r="F20" s="22">
        <f>40/5*G20*C20</f>
        <v>136</v>
      </c>
      <c r="G20" s="22">
        <v>17</v>
      </c>
      <c r="H20" s="41">
        <v>11212</v>
      </c>
      <c r="I20" s="41"/>
      <c r="J20" s="41">
        <v>16818</v>
      </c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>
        <v>8409</v>
      </c>
      <c r="Y20" s="40">
        <f>SUM(H20:X20)</f>
        <v>36439</v>
      </c>
      <c r="Z20" s="41"/>
      <c r="AA20" s="41"/>
    </row>
    <row r="21" spans="1:27" s="3" customFormat="1" x14ac:dyDescent="0.2">
      <c r="A21" s="21">
        <v>8</v>
      </c>
      <c r="B21" s="28" t="s">
        <v>52</v>
      </c>
      <c r="C21" s="21">
        <v>1</v>
      </c>
      <c r="D21" s="21" t="s">
        <v>96</v>
      </c>
      <c r="E21" s="21">
        <v>1</v>
      </c>
      <c r="F21" s="22">
        <f>40/5*G21*C21</f>
        <v>120</v>
      </c>
      <c r="G21" s="22">
        <v>15</v>
      </c>
      <c r="H21" s="41">
        <v>14814.94</v>
      </c>
      <c r="I21" s="41"/>
      <c r="J21" s="41"/>
      <c r="K21" s="41">
        <v>1319.29</v>
      </c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>
        <v>4840.2700000000004</v>
      </c>
      <c r="Y21" s="40">
        <f>SUM(H21:X21)</f>
        <v>20974.5</v>
      </c>
      <c r="Z21" s="41">
        <v>2641.88</v>
      </c>
      <c r="AA21" s="41"/>
    </row>
    <row r="22" spans="1:27" s="3" customFormat="1" x14ac:dyDescent="0.2">
      <c r="A22" s="21">
        <v>9</v>
      </c>
      <c r="B22" s="50" t="s">
        <v>53</v>
      </c>
      <c r="C22" s="21">
        <v>1</v>
      </c>
      <c r="D22" s="21" t="s">
        <v>93</v>
      </c>
      <c r="E22" s="21">
        <v>1</v>
      </c>
      <c r="F22" s="22">
        <f>40/5*G22*C22</f>
        <v>136</v>
      </c>
      <c r="G22" s="22">
        <v>17</v>
      </c>
      <c r="H22" s="41">
        <v>8410</v>
      </c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>
        <v>5947</v>
      </c>
      <c r="T22" s="41"/>
      <c r="U22" s="41"/>
      <c r="V22" s="41"/>
      <c r="W22" s="41">
        <v>1885</v>
      </c>
      <c r="X22" s="41">
        <v>4872.6000000000004</v>
      </c>
      <c r="Y22" s="40">
        <f>SUM(H22:X22)+6334.38</f>
        <v>27448.98</v>
      </c>
      <c r="Z22" s="41"/>
      <c r="AA22" s="41"/>
    </row>
    <row r="23" spans="1:27" s="3" customFormat="1" x14ac:dyDescent="0.2">
      <c r="A23" s="21">
        <v>10</v>
      </c>
      <c r="B23" s="50" t="s">
        <v>54</v>
      </c>
      <c r="C23" s="21">
        <v>0.3</v>
      </c>
      <c r="D23" s="21" t="s">
        <v>93</v>
      </c>
      <c r="E23" s="21">
        <v>0</v>
      </c>
      <c r="F23" s="22"/>
      <c r="G23" s="22">
        <v>17</v>
      </c>
      <c r="H23" s="41">
        <v>2523</v>
      </c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>
        <v>2349.6</v>
      </c>
      <c r="T23" s="41"/>
      <c r="U23" s="41"/>
      <c r="V23" s="41"/>
      <c r="W23" s="41"/>
      <c r="X23" s="41">
        <v>1461.78</v>
      </c>
      <c r="Y23" s="40"/>
      <c r="Z23" s="41"/>
      <c r="AA23" s="41"/>
    </row>
    <row r="24" spans="1:27" s="3" customFormat="1" x14ac:dyDescent="0.2">
      <c r="A24" s="21">
        <v>12</v>
      </c>
      <c r="B24" s="50" t="s">
        <v>56</v>
      </c>
      <c r="C24" s="21">
        <v>0.5</v>
      </c>
      <c r="D24" s="21" t="s">
        <v>94</v>
      </c>
      <c r="E24" s="21">
        <v>1</v>
      </c>
      <c r="F24" s="22">
        <f>40/5*G24*C24</f>
        <v>68</v>
      </c>
      <c r="G24" s="22">
        <v>17</v>
      </c>
      <c r="H24" s="41">
        <v>2355</v>
      </c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>
        <v>5766</v>
      </c>
      <c r="T24" s="41"/>
      <c r="U24" s="41"/>
      <c r="V24" s="41"/>
      <c r="W24" s="41"/>
      <c r="X24" s="41">
        <v>2436.3000000000002</v>
      </c>
      <c r="Y24" s="40">
        <f>SUM(H24:X24)+10557.3</f>
        <v>21114.6</v>
      </c>
      <c r="Z24" s="41"/>
      <c r="AA24" s="41"/>
    </row>
    <row r="25" spans="1:27" s="3" customFormat="1" x14ac:dyDescent="0.2">
      <c r="A25" s="21">
        <v>13</v>
      </c>
      <c r="B25" s="50" t="s">
        <v>57</v>
      </c>
      <c r="C25" s="21">
        <v>0.5</v>
      </c>
      <c r="D25" s="21" t="s">
        <v>94</v>
      </c>
      <c r="E25" s="21">
        <v>0</v>
      </c>
      <c r="F25" s="22"/>
      <c r="G25" s="22">
        <v>17</v>
      </c>
      <c r="H25" s="41">
        <v>2243</v>
      </c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>
        <v>5878</v>
      </c>
      <c r="T25" s="41"/>
      <c r="U25" s="41"/>
      <c r="V25" s="41"/>
      <c r="W25" s="41"/>
      <c r="X25" s="41">
        <v>2436.3000000000002</v>
      </c>
      <c r="Y25" s="40"/>
      <c r="Z25" s="41"/>
      <c r="AA25" s="41"/>
    </row>
    <row r="26" spans="1:27" s="3" customFormat="1" x14ac:dyDescent="0.2">
      <c r="A26" s="21">
        <v>14</v>
      </c>
      <c r="B26" s="50" t="s">
        <v>58</v>
      </c>
      <c r="C26" s="21">
        <v>1</v>
      </c>
      <c r="D26" s="21" t="s">
        <v>95</v>
      </c>
      <c r="E26" s="21">
        <v>1</v>
      </c>
      <c r="F26" s="22">
        <f>30/5*G26</f>
        <v>102</v>
      </c>
      <c r="G26" s="22">
        <v>17</v>
      </c>
      <c r="H26" s="41">
        <v>16175</v>
      </c>
      <c r="I26" s="41"/>
      <c r="J26" s="41">
        <v>24586</v>
      </c>
      <c r="K26" s="41"/>
      <c r="L26" s="41"/>
      <c r="M26" s="41">
        <v>1484.21</v>
      </c>
      <c r="N26" s="41"/>
      <c r="O26" s="41"/>
      <c r="P26" s="41"/>
      <c r="Q26" s="41"/>
      <c r="R26" s="41"/>
      <c r="S26" s="41"/>
      <c r="T26" s="41"/>
      <c r="U26" s="41">
        <v>1728</v>
      </c>
      <c r="V26" s="41">
        <v>5000</v>
      </c>
      <c r="W26" s="41">
        <v>885</v>
      </c>
      <c r="X26" s="41">
        <v>14957.47</v>
      </c>
      <c r="Y26" s="40">
        <f>SUM(H26:X26)+10557.3</f>
        <v>75372.98</v>
      </c>
      <c r="Z26" s="41">
        <v>3769.26</v>
      </c>
      <c r="AA26" s="41"/>
    </row>
    <row r="27" spans="1:27" s="3" customFormat="1" x14ac:dyDescent="0.2">
      <c r="A27" s="21">
        <v>15</v>
      </c>
      <c r="B27" s="50" t="s">
        <v>59</v>
      </c>
      <c r="C27" s="21">
        <v>0.5</v>
      </c>
      <c r="D27" s="21" t="s">
        <v>95</v>
      </c>
      <c r="E27" s="21">
        <v>0</v>
      </c>
      <c r="F27" s="22"/>
      <c r="G27" s="22">
        <v>17</v>
      </c>
      <c r="H27" s="41">
        <v>2943.75</v>
      </c>
      <c r="I27" s="41"/>
      <c r="J27" s="41"/>
      <c r="K27" s="41"/>
      <c r="L27" s="41"/>
      <c r="M27" s="41"/>
      <c r="N27" s="41"/>
      <c r="O27" s="41">
        <v>117.75</v>
      </c>
      <c r="P27" s="41"/>
      <c r="Q27" s="41"/>
      <c r="R27" s="41"/>
      <c r="S27" s="41">
        <v>5059.5</v>
      </c>
      <c r="T27" s="41"/>
      <c r="U27" s="41"/>
      <c r="V27" s="41"/>
      <c r="W27" s="41"/>
      <c r="X27" s="41">
        <v>2436.3000000000002</v>
      </c>
      <c r="Y27" s="40"/>
      <c r="Z27" s="41"/>
      <c r="AA27" s="41"/>
    </row>
    <row r="28" spans="1:27" s="3" customFormat="1" x14ac:dyDescent="0.2">
      <c r="A28" s="21">
        <v>16</v>
      </c>
      <c r="B28" s="28" t="s">
        <v>60</v>
      </c>
      <c r="C28" s="21">
        <v>1</v>
      </c>
      <c r="D28" s="21" t="s">
        <v>97</v>
      </c>
      <c r="E28" s="21">
        <v>1</v>
      </c>
      <c r="F28" s="22">
        <f>30/5*G28</f>
        <v>0</v>
      </c>
      <c r="G28" s="22">
        <v>0</v>
      </c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>
        <v>2256</v>
      </c>
      <c r="V28" s="41">
        <v>1400</v>
      </c>
      <c r="W28" s="41"/>
      <c r="X28" s="41">
        <v>1096.8</v>
      </c>
      <c r="Y28" s="40">
        <f>SUM(H28:X28)</f>
        <v>4752.8</v>
      </c>
      <c r="Z28" s="41"/>
      <c r="AA28" s="41"/>
    </row>
    <row r="29" spans="1:27" s="3" customFormat="1" x14ac:dyDescent="0.2">
      <c r="A29" s="21">
        <v>17</v>
      </c>
      <c r="B29" s="28" t="s">
        <v>61</v>
      </c>
      <c r="C29" s="21">
        <v>0.5</v>
      </c>
      <c r="D29" s="21" t="s">
        <v>95</v>
      </c>
      <c r="E29" s="21">
        <v>1</v>
      </c>
      <c r="F29" s="22">
        <f>36/5*G29*C29</f>
        <v>61.2</v>
      </c>
      <c r="G29" s="22">
        <v>17</v>
      </c>
      <c r="H29" s="41">
        <v>7497.5</v>
      </c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>
        <v>0</v>
      </c>
      <c r="T29" s="41"/>
      <c r="U29" s="41">
        <v>864</v>
      </c>
      <c r="V29" s="41">
        <v>1600</v>
      </c>
      <c r="W29" s="41">
        <v>442.5</v>
      </c>
      <c r="X29" s="41">
        <v>3121.2</v>
      </c>
      <c r="Y29" s="40">
        <f>SUM(H29:X29)</f>
        <v>13525.2</v>
      </c>
      <c r="Z29" s="41"/>
      <c r="AA29" s="41"/>
    </row>
    <row r="30" spans="1:27" s="3" customFormat="1" x14ac:dyDescent="0.2">
      <c r="A30" s="21">
        <v>18</v>
      </c>
      <c r="B30" s="28" t="s">
        <v>62</v>
      </c>
      <c r="C30" s="21">
        <v>1</v>
      </c>
      <c r="D30" s="21" t="s">
        <v>97</v>
      </c>
      <c r="E30" s="21">
        <v>1</v>
      </c>
      <c r="F30" s="22">
        <f>30/5*G30</f>
        <v>102</v>
      </c>
      <c r="G30" s="22">
        <v>17</v>
      </c>
      <c r="H30" s="41">
        <v>14700</v>
      </c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>
        <v>4525.22</v>
      </c>
      <c r="U30" s="41">
        <v>528</v>
      </c>
      <c r="V30" s="41">
        <v>600</v>
      </c>
      <c r="W30" s="41">
        <v>1885</v>
      </c>
      <c r="X30" s="41">
        <v>5313.9</v>
      </c>
      <c r="Y30" s="40">
        <f>SUM(H30:X30)</f>
        <v>27552.120000000003</v>
      </c>
      <c r="Z30" s="41"/>
      <c r="AA30" s="41"/>
    </row>
    <row r="31" spans="1:27" s="3" customFormat="1" x14ac:dyDescent="0.2">
      <c r="A31" s="21">
        <v>19</v>
      </c>
      <c r="B31" s="28" t="s">
        <v>63</v>
      </c>
      <c r="C31" s="21">
        <v>1</v>
      </c>
      <c r="D31" s="21" t="s">
        <v>97</v>
      </c>
      <c r="E31" s="21">
        <v>1</v>
      </c>
      <c r="F31" s="22">
        <f>30/5*G31</f>
        <v>102</v>
      </c>
      <c r="G31" s="22">
        <v>17</v>
      </c>
      <c r="H31" s="41">
        <v>8410</v>
      </c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>
        <v>5947</v>
      </c>
      <c r="T31" s="41"/>
      <c r="U31" s="41"/>
      <c r="V31" s="41"/>
      <c r="W31" s="41">
        <v>1885</v>
      </c>
      <c r="X31" s="41">
        <v>4872.6000000000004</v>
      </c>
      <c r="Y31" s="40">
        <f>SUM(H31:X31)</f>
        <v>21114.6</v>
      </c>
      <c r="Z31" s="41"/>
      <c r="AA31" s="41"/>
    </row>
    <row r="32" spans="1:27" s="3" customFormat="1" x14ac:dyDescent="0.2">
      <c r="A32" s="21">
        <v>20</v>
      </c>
      <c r="B32" s="28" t="s">
        <v>64</v>
      </c>
      <c r="C32" s="21">
        <v>1</v>
      </c>
      <c r="D32" s="21" t="s">
        <v>94</v>
      </c>
      <c r="E32" s="21">
        <v>1</v>
      </c>
      <c r="F32" s="22">
        <f>40/5*G32*C32</f>
        <v>40</v>
      </c>
      <c r="G32" s="22">
        <v>5</v>
      </c>
      <c r="H32" s="41">
        <v>2619.2399999999998</v>
      </c>
      <c r="I32" s="41"/>
      <c r="J32" s="41"/>
      <c r="K32" s="41"/>
      <c r="L32" s="41"/>
      <c r="M32" s="41"/>
      <c r="N32" s="41"/>
      <c r="O32" s="41"/>
      <c r="P32" s="41">
        <v>982.22</v>
      </c>
      <c r="Q32" s="41">
        <v>436.54</v>
      </c>
      <c r="R32" s="41">
        <v>98.22</v>
      </c>
      <c r="S32" s="41">
        <v>2059.6</v>
      </c>
      <c r="T32" s="41"/>
      <c r="U32" s="41"/>
      <c r="V32" s="41"/>
      <c r="W32" s="41"/>
      <c r="X32" s="41">
        <v>1858.75</v>
      </c>
      <c r="Y32" s="40">
        <f>SUM(H32:X32)</f>
        <v>8054.57</v>
      </c>
      <c r="Z32" s="41"/>
      <c r="AA32" s="41"/>
    </row>
    <row r="33" spans="1:27" s="3" customFormat="1" x14ac:dyDescent="0.2">
      <c r="A33" s="21">
        <v>23</v>
      </c>
      <c r="B33" s="50" t="s">
        <v>67</v>
      </c>
      <c r="C33" s="21">
        <v>1</v>
      </c>
      <c r="D33" s="21" t="s">
        <v>94</v>
      </c>
      <c r="E33" s="21">
        <v>1</v>
      </c>
      <c r="F33" s="22">
        <f>40/5*G33*C33</f>
        <v>136</v>
      </c>
      <c r="G33" s="22">
        <v>17</v>
      </c>
      <c r="H33" s="41">
        <v>7010</v>
      </c>
      <c r="I33" s="41"/>
      <c r="J33" s="41"/>
      <c r="K33" s="41"/>
      <c r="L33" s="41"/>
      <c r="M33" s="41"/>
      <c r="N33" s="41">
        <v>1177.5</v>
      </c>
      <c r="O33" s="41">
        <v>280.39999999999998</v>
      </c>
      <c r="P33" s="41"/>
      <c r="Q33" s="41"/>
      <c r="R33" s="41"/>
      <c r="S33" s="41">
        <v>8951.6</v>
      </c>
      <c r="T33" s="41"/>
      <c r="U33" s="41"/>
      <c r="V33" s="41"/>
      <c r="W33" s="41"/>
      <c r="X33" s="41">
        <v>5225.8500000000004</v>
      </c>
      <c r="Y33" s="40">
        <f>SUM(H33:X33)+5278.65</f>
        <v>27924</v>
      </c>
      <c r="Z33" s="41"/>
      <c r="AA33" s="41"/>
    </row>
    <row r="34" spans="1:27" s="3" customFormat="1" x14ac:dyDescent="0.2">
      <c r="A34" s="21">
        <v>24</v>
      </c>
      <c r="B34" s="50" t="s">
        <v>68</v>
      </c>
      <c r="C34" s="21">
        <v>0.25</v>
      </c>
      <c r="D34" s="21" t="s">
        <v>94</v>
      </c>
      <c r="E34" s="21">
        <v>0</v>
      </c>
      <c r="F34" s="22"/>
      <c r="G34" s="22">
        <v>17</v>
      </c>
      <c r="H34" s="41">
        <v>1752.5</v>
      </c>
      <c r="I34" s="41"/>
      <c r="J34" s="41"/>
      <c r="K34" s="41"/>
      <c r="L34" s="41"/>
      <c r="M34" s="41"/>
      <c r="N34" s="41"/>
      <c r="O34" s="41">
        <v>70.099999999999994</v>
      </c>
      <c r="P34" s="41"/>
      <c r="Q34" s="41"/>
      <c r="R34" s="41"/>
      <c r="S34" s="41">
        <v>2237.9</v>
      </c>
      <c r="T34" s="41"/>
      <c r="U34" s="41"/>
      <c r="V34" s="41"/>
      <c r="W34" s="41"/>
      <c r="X34" s="41">
        <v>1218.1500000000001</v>
      </c>
      <c r="Y34" s="40"/>
      <c r="Z34" s="41"/>
      <c r="AA34" s="41"/>
    </row>
    <row r="35" spans="1:27" s="3" customFormat="1" x14ac:dyDescent="0.2">
      <c r="A35" s="21">
        <v>25</v>
      </c>
      <c r="B35" s="50" t="s">
        <v>69</v>
      </c>
      <c r="C35" s="21">
        <v>1</v>
      </c>
      <c r="D35" s="21" t="s">
        <v>94</v>
      </c>
      <c r="E35" s="21">
        <v>1</v>
      </c>
      <c r="F35" s="22">
        <f>40/5*G35*C35</f>
        <v>136</v>
      </c>
      <c r="G35" s="22">
        <v>17</v>
      </c>
      <c r="H35" s="41">
        <v>7570</v>
      </c>
      <c r="I35" s="41"/>
      <c r="J35" s="41"/>
      <c r="K35" s="41"/>
      <c r="L35" s="41"/>
      <c r="M35" s="41"/>
      <c r="N35" s="41">
        <v>761.91</v>
      </c>
      <c r="O35" s="41">
        <v>302.8</v>
      </c>
      <c r="P35" s="41"/>
      <c r="Q35" s="41"/>
      <c r="R35" s="41"/>
      <c r="S35" s="41">
        <v>8369.2000000000007</v>
      </c>
      <c r="T35" s="41"/>
      <c r="U35" s="41"/>
      <c r="V35" s="41"/>
      <c r="W35" s="41"/>
      <c r="X35" s="41">
        <v>5101.17</v>
      </c>
      <c r="Y35" s="40">
        <f>SUM(H35:X35)+5278.65</f>
        <v>27383.730000000003</v>
      </c>
      <c r="Z35" s="41"/>
      <c r="AA35" s="41"/>
    </row>
    <row r="36" spans="1:27" s="3" customFormat="1" x14ac:dyDescent="0.2">
      <c r="A36" s="21">
        <v>26</v>
      </c>
      <c r="B36" s="50" t="s">
        <v>70</v>
      </c>
      <c r="C36" s="21">
        <v>0.25</v>
      </c>
      <c r="D36" s="21" t="s">
        <v>94</v>
      </c>
      <c r="E36" s="21">
        <v>0</v>
      </c>
      <c r="F36" s="22"/>
      <c r="G36" s="22">
        <v>17</v>
      </c>
      <c r="H36" s="41">
        <v>1892.5</v>
      </c>
      <c r="I36" s="41"/>
      <c r="J36" s="41"/>
      <c r="K36" s="41"/>
      <c r="L36" s="41"/>
      <c r="M36" s="41"/>
      <c r="N36" s="41"/>
      <c r="O36" s="41">
        <v>75.7</v>
      </c>
      <c r="P36" s="41"/>
      <c r="Q36" s="41"/>
      <c r="R36" s="41"/>
      <c r="S36" s="41">
        <v>2092.3000000000002</v>
      </c>
      <c r="T36" s="41"/>
      <c r="U36" s="41"/>
      <c r="V36" s="41"/>
      <c r="W36" s="41"/>
      <c r="X36" s="41">
        <v>1218.1500000000001</v>
      </c>
      <c r="Y36" s="40"/>
      <c r="Z36" s="41"/>
      <c r="AA36" s="41"/>
    </row>
    <row r="37" spans="1:27" s="3" customFormat="1" x14ac:dyDescent="0.2">
      <c r="A37" s="21">
        <v>27</v>
      </c>
      <c r="B37" s="50" t="s">
        <v>71</v>
      </c>
      <c r="C37" s="21">
        <v>0.5</v>
      </c>
      <c r="D37" s="21" t="s">
        <v>97</v>
      </c>
      <c r="E37" s="21">
        <v>1</v>
      </c>
      <c r="F37" s="22">
        <f>30/5*G37*C37</f>
        <v>0</v>
      </c>
      <c r="G37" s="22">
        <v>0</v>
      </c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>
        <v>1488</v>
      </c>
      <c r="V37" s="41"/>
      <c r="W37" s="41"/>
      <c r="X37" s="41">
        <v>446.4</v>
      </c>
      <c r="Y37" s="40">
        <f>SUM(H37:X37)+3286.4</f>
        <v>5220.8</v>
      </c>
      <c r="Z37" s="41"/>
      <c r="AA37" s="41"/>
    </row>
    <row r="38" spans="1:27" s="3" customFormat="1" x14ac:dyDescent="0.2">
      <c r="A38" s="21">
        <v>28</v>
      </c>
      <c r="B38" s="50" t="s">
        <v>72</v>
      </c>
      <c r="C38" s="21">
        <v>0.5</v>
      </c>
      <c r="D38" s="21" t="s">
        <v>97</v>
      </c>
      <c r="E38" s="21">
        <v>0</v>
      </c>
      <c r="F38" s="22"/>
      <c r="G38" s="22">
        <v>0</v>
      </c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>
        <v>1728</v>
      </c>
      <c r="V38" s="41">
        <v>800</v>
      </c>
      <c r="W38" s="41"/>
      <c r="X38" s="41">
        <v>758.4</v>
      </c>
      <c r="Y38" s="40"/>
      <c r="Z38" s="41"/>
      <c r="AA38" s="41"/>
    </row>
    <row r="39" spans="1:27" s="3" customFormat="1" x14ac:dyDescent="0.2">
      <c r="A39" s="21">
        <v>29</v>
      </c>
      <c r="B39" s="28" t="s">
        <v>73</v>
      </c>
      <c r="C39" s="21">
        <v>1</v>
      </c>
      <c r="D39" s="21" t="s">
        <v>97</v>
      </c>
      <c r="E39" s="21">
        <v>1</v>
      </c>
      <c r="F39" s="22">
        <f>30/5*G39</f>
        <v>102</v>
      </c>
      <c r="G39" s="22">
        <v>17</v>
      </c>
      <c r="H39" s="41">
        <v>18743.75</v>
      </c>
      <c r="I39" s="41"/>
      <c r="J39" s="41"/>
      <c r="K39" s="41"/>
      <c r="L39" s="41">
        <v>14897.14</v>
      </c>
      <c r="M39" s="41"/>
      <c r="N39" s="41"/>
      <c r="O39" s="41"/>
      <c r="P39" s="41"/>
      <c r="Q39" s="41"/>
      <c r="R39" s="41"/>
      <c r="S39" s="41"/>
      <c r="T39" s="41"/>
      <c r="U39" s="41">
        <v>2544</v>
      </c>
      <c r="V39" s="41">
        <v>1200</v>
      </c>
      <c r="W39" s="41">
        <v>1885</v>
      </c>
      <c r="X39" s="41">
        <v>11780.97</v>
      </c>
      <c r="Y39" s="40">
        <f>SUM(H39:X39)</f>
        <v>51050.86</v>
      </c>
      <c r="Z39" s="41"/>
      <c r="AA39" s="41"/>
    </row>
    <row r="40" spans="1:27" s="3" customFormat="1" x14ac:dyDescent="0.2">
      <c r="A40" s="21">
        <v>30</v>
      </c>
      <c r="B40" s="28" t="s">
        <v>74</v>
      </c>
      <c r="C40" s="21">
        <v>0.5</v>
      </c>
      <c r="D40" s="21" t="s">
        <v>94</v>
      </c>
      <c r="E40" s="21">
        <v>1</v>
      </c>
      <c r="F40" s="22">
        <f>40/5*G40*C40</f>
        <v>20</v>
      </c>
      <c r="G40" s="22">
        <v>5</v>
      </c>
      <c r="H40" s="41">
        <v>659.71</v>
      </c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>
        <v>1728.82</v>
      </c>
      <c r="T40" s="41"/>
      <c r="U40" s="41"/>
      <c r="V40" s="41"/>
      <c r="W40" s="41"/>
      <c r="X40" s="41">
        <v>716.56</v>
      </c>
      <c r="Y40" s="40">
        <f>SUM(H40:X40)</f>
        <v>3105.0899999999997</v>
      </c>
      <c r="Z40" s="41"/>
      <c r="AA40" s="41"/>
    </row>
    <row r="41" spans="1:27" s="3" customFormat="1" x14ac:dyDescent="0.2">
      <c r="A41" s="21">
        <v>31</v>
      </c>
      <c r="B41" s="28" t="s">
        <v>75</v>
      </c>
      <c r="C41" s="21">
        <v>1</v>
      </c>
      <c r="D41" s="21" t="s">
        <v>94</v>
      </c>
      <c r="E41" s="21">
        <v>1</v>
      </c>
      <c r="F41" s="22">
        <f>40/5*G41*C41</f>
        <v>96</v>
      </c>
      <c r="G41" s="22">
        <v>12</v>
      </c>
      <c r="H41" s="41">
        <v>2619.2399999999998</v>
      </c>
      <c r="I41" s="41"/>
      <c r="J41" s="41"/>
      <c r="K41" s="41"/>
      <c r="L41" s="41"/>
      <c r="M41" s="41"/>
      <c r="N41" s="41"/>
      <c r="O41" s="41"/>
      <c r="P41" s="41"/>
      <c r="Q41" s="41">
        <v>523.85</v>
      </c>
      <c r="R41" s="41">
        <v>109.14</v>
      </c>
      <c r="S41" s="41">
        <v>8736.56</v>
      </c>
      <c r="T41" s="41"/>
      <c r="U41" s="41"/>
      <c r="V41" s="41"/>
      <c r="W41" s="41"/>
      <c r="X41" s="41">
        <v>3596.64</v>
      </c>
      <c r="Y41" s="40">
        <f>SUM(H41:X41)</f>
        <v>15585.429999999998</v>
      </c>
      <c r="Z41" s="41"/>
      <c r="AA41" s="41"/>
    </row>
    <row r="42" spans="1:27" s="3" customFormat="1" x14ac:dyDescent="0.2">
      <c r="A42" s="21">
        <v>32</v>
      </c>
      <c r="B42" s="50" t="s">
        <v>76</v>
      </c>
      <c r="C42" s="21">
        <v>1</v>
      </c>
      <c r="D42" s="21" t="s">
        <v>93</v>
      </c>
      <c r="E42" s="21">
        <v>1</v>
      </c>
      <c r="F42" s="22">
        <f>40/5*G42*C42</f>
        <v>136</v>
      </c>
      <c r="G42" s="22">
        <v>17</v>
      </c>
      <c r="H42" s="41">
        <v>8410</v>
      </c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>
        <v>5947</v>
      </c>
      <c r="T42" s="41"/>
      <c r="U42" s="41"/>
      <c r="V42" s="41"/>
      <c r="W42" s="41">
        <v>1885</v>
      </c>
      <c r="X42" s="41">
        <v>4872.6000000000004</v>
      </c>
      <c r="Y42" s="40">
        <f>SUM(H42:X42)+6334.38</f>
        <v>27448.98</v>
      </c>
      <c r="Z42" s="41"/>
      <c r="AA42" s="41"/>
    </row>
    <row r="43" spans="1:27" s="3" customFormat="1" x14ac:dyDescent="0.2">
      <c r="A43" s="21">
        <v>33</v>
      </c>
      <c r="B43" s="50" t="s">
        <v>77</v>
      </c>
      <c r="C43" s="21">
        <v>0.3</v>
      </c>
      <c r="D43" s="21" t="s">
        <v>93</v>
      </c>
      <c r="E43" s="21">
        <v>0</v>
      </c>
      <c r="F43" s="22"/>
      <c r="G43" s="22">
        <v>17</v>
      </c>
      <c r="H43" s="41">
        <v>2523</v>
      </c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>
        <v>2349.6</v>
      </c>
      <c r="T43" s="41"/>
      <c r="U43" s="41"/>
      <c r="V43" s="41"/>
      <c r="W43" s="41"/>
      <c r="X43" s="41">
        <v>1461.78</v>
      </c>
      <c r="Y43" s="40"/>
      <c r="Z43" s="41"/>
      <c r="AA43" s="41"/>
    </row>
    <row r="44" spans="1:27" s="3" customFormat="1" x14ac:dyDescent="0.2">
      <c r="A44" s="21">
        <v>34</v>
      </c>
      <c r="B44" s="28" t="s">
        <v>78</v>
      </c>
      <c r="C44" s="21">
        <v>1</v>
      </c>
      <c r="D44" s="21" t="s">
        <v>97</v>
      </c>
      <c r="E44" s="21">
        <v>1</v>
      </c>
      <c r="F44" s="22">
        <f>30/5*G44</f>
        <v>78</v>
      </c>
      <c r="G44" s="22">
        <v>13</v>
      </c>
      <c r="H44" s="41">
        <v>15461.4</v>
      </c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>
        <v>2016</v>
      </c>
      <c r="V44" s="41">
        <v>1700</v>
      </c>
      <c r="W44" s="41">
        <v>1441.47</v>
      </c>
      <c r="X44" s="41">
        <v>6185.66</v>
      </c>
      <c r="Y44" s="40">
        <f>SUM(H44:X44)</f>
        <v>26804.530000000002</v>
      </c>
      <c r="Z44" s="41"/>
      <c r="AA44" s="41">
        <v>7236.88</v>
      </c>
    </row>
    <row r="45" spans="1:27" s="3" customFormat="1" x14ac:dyDescent="0.2">
      <c r="A45" s="21">
        <v>35</v>
      </c>
      <c r="B45" s="28" t="s">
        <v>79</v>
      </c>
      <c r="C45" s="21">
        <v>1</v>
      </c>
      <c r="D45" s="21" t="s">
        <v>94</v>
      </c>
      <c r="E45" s="21">
        <v>1</v>
      </c>
      <c r="F45" s="22">
        <f>40/5*G45*C45</f>
        <v>136</v>
      </c>
      <c r="G45" s="22">
        <v>17</v>
      </c>
      <c r="H45" s="41">
        <v>4911.08</v>
      </c>
      <c r="I45" s="41"/>
      <c r="J45" s="41"/>
      <c r="K45" s="41"/>
      <c r="L45" s="41"/>
      <c r="M45" s="41"/>
      <c r="N45" s="41"/>
      <c r="O45" s="41"/>
      <c r="P45" s="41">
        <v>982.22</v>
      </c>
      <c r="Q45" s="41">
        <v>873.08</v>
      </c>
      <c r="R45" s="41">
        <v>185.53</v>
      </c>
      <c r="S45" s="41">
        <v>11145.39</v>
      </c>
      <c r="T45" s="41"/>
      <c r="U45" s="41"/>
      <c r="V45" s="41"/>
      <c r="W45" s="41"/>
      <c r="X45" s="41">
        <v>5429.19</v>
      </c>
      <c r="Y45" s="40">
        <f>SUM(H45:X45)</f>
        <v>23526.489999999998</v>
      </c>
      <c r="Z45" s="41"/>
      <c r="AA45" s="41"/>
    </row>
    <row r="46" spans="1:27" s="3" customFormat="1" x14ac:dyDescent="0.2">
      <c r="A46" s="21">
        <v>36</v>
      </c>
      <c r="B46" s="50" t="s">
        <v>80</v>
      </c>
      <c r="C46" s="21">
        <v>1</v>
      </c>
      <c r="D46" s="21" t="s">
        <v>94</v>
      </c>
      <c r="E46" s="21">
        <v>1</v>
      </c>
      <c r="F46" s="22">
        <f>40/5*G46*C46</f>
        <v>136</v>
      </c>
      <c r="G46" s="22">
        <v>17</v>
      </c>
      <c r="H46" s="41">
        <v>4486</v>
      </c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>
        <v>11756</v>
      </c>
      <c r="T46" s="41"/>
      <c r="U46" s="41"/>
      <c r="V46" s="41"/>
      <c r="W46" s="41"/>
      <c r="X46" s="41">
        <v>4872.6000000000004</v>
      </c>
      <c r="Y46" s="40">
        <f>SUM(H46:X46)+6334.38</f>
        <v>27448.98</v>
      </c>
      <c r="Z46" s="41"/>
      <c r="AA46" s="41"/>
    </row>
    <row r="47" spans="1:27" s="3" customFormat="1" x14ac:dyDescent="0.2">
      <c r="A47" s="21">
        <v>37</v>
      </c>
      <c r="B47" s="50" t="s">
        <v>81</v>
      </c>
      <c r="C47" s="21">
        <v>0.3</v>
      </c>
      <c r="D47" s="21" t="s">
        <v>94</v>
      </c>
      <c r="E47" s="21">
        <v>0</v>
      </c>
      <c r="F47" s="22"/>
      <c r="G47" s="22">
        <v>17</v>
      </c>
      <c r="H47" s="41">
        <v>2523</v>
      </c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>
        <v>1784.1</v>
      </c>
      <c r="T47" s="41"/>
      <c r="U47" s="41"/>
      <c r="V47" s="41"/>
      <c r="W47" s="41">
        <v>565.5</v>
      </c>
      <c r="X47" s="41">
        <v>1461.78</v>
      </c>
      <c r="Y47" s="40"/>
      <c r="Z47" s="41"/>
      <c r="AA47" s="41"/>
    </row>
    <row r="48" spans="1:27" s="3" customFormat="1" x14ac:dyDescent="0.2">
      <c r="A48" s="21">
        <v>38</v>
      </c>
      <c r="B48" s="50" t="s">
        <v>82</v>
      </c>
      <c r="C48" s="21">
        <v>1</v>
      </c>
      <c r="D48" s="21" t="s">
        <v>93</v>
      </c>
      <c r="E48" s="21">
        <v>1</v>
      </c>
      <c r="F48" s="22">
        <f>40/5*G48*C48</f>
        <v>136</v>
      </c>
      <c r="G48" s="22">
        <v>17</v>
      </c>
      <c r="H48" s="41">
        <v>6728</v>
      </c>
      <c r="I48" s="41"/>
      <c r="J48" s="41">
        <v>8592</v>
      </c>
      <c r="K48" s="41">
        <v>1121.5</v>
      </c>
      <c r="L48" s="41"/>
      <c r="M48" s="41"/>
      <c r="N48" s="41"/>
      <c r="O48" s="41"/>
      <c r="P48" s="41"/>
      <c r="Q48" s="41"/>
      <c r="R48" s="41"/>
      <c r="S48" s="41">
        <v>922</v>
      </c>
      <c r="T48" s="41"/>
      <c r="U48" s="41"/>
      <c r="V48" s="41"/>
      <c r="W48" s="41"/>
      <c r="X48" s="41">
        <v>5209.05</v>
      </c>
      <c r="Y48" s="40">
        <f>SUM(H48:X48)+10557.3</f>
        <v>33129.85</v>
      </c>
      <c r="Z48" s="41"/>
      <c r="AA48" s="41"/>
    </row>
    <row r="49" spans="1:27" s="3" customFormat="1" x14ac:dyDescent="0.2">
      <c r="A49" s="21">
        <v>39</v>
      </c>
      <c r="B49" s="50" t="s">
        <v>83</v>
      </c>
      <c r="C49" s="21">
        <v>0.5</v>
      </c>
      <c r="D49" s="21" t="s">
        <v>93</v>
      </c>
      <c r="E49" s="21">
        <v>0</v>
      </c>
      <c r="F49" s="22"/>
      <c r="G49" s="22">
        <v>17</v>
      </c>
      <c r="H49" s="41">
        <v>4205</v>
      </c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>
        <v>3916</v>
      </c>
      <c r="T49" s="41"/>
      <c r="U49" s="41"/>
      <c r="V49" s="41"/>
      <c r="W49" s="41"/>
      <c r="X49" s="41">
        <v>2436.3000000000002</v>
      </c>
      <c r="Y49" s="40"/>
      <c r="Z49" s="41"/>
      <c r="AA49" s="41"/>
    </row>
    <row r="50" spans="1:27" s="3" customFormat="1" x14ac:dyDescent="0.2">
      <c r="A50" s="21">
        <v>40</v>
      </c>
      <c r="B50" s="28" t="s">
        <v>84</v>
      </c>
      <c r="C50" s="21">
        <v>1</v>
      </c>
      <c r="D50" s="21" t="s">
        <v>95</v>
      </c>
      <c r="E50" s="21">
        <v>1</v>
      </c>
      <c r="F50" s="22">
        <f>24/5*G50</f>
        <v>81.599999999999994</v>
      </c>
      <c r="G50" s="22">
        <v>17</v>
      </c>
      <c r="H50" s="41">
        <v>17273.439999999999</v>
      </c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>
        <v>1824</v>
      </c>
      <c r="V50" s="41">
        <v>600</v>
      </c>
      <c r="W50" s="41">
        <v>885</v>
      </c>
      <c r="X50" s="41">
        <v>6174.73</v>
      </c>
      <c r="Y50" s="40">
        <f>SUM(H50:X50)</f>
        <v>26757.17</v>
      </c>
      <c r="Z50" s="41"/>
      <c r="AA50" s="41"/>
    </row>
    <row r="51" spans="1:27" s="3" customFormat="1" x14ac:dyDescent="0.2">
      <c r="A51" s="21">
        <v>41</v>
      </c>
      <c r="B51" s="28" t="s">
        <v>85</v>
      </c>
      <c r="C51" s="21">
        <v>1</v>
      </c>
      <c r="D51" s="21" t="s">
        <v>97</v>
      </c>
      <c r="E51" s="21">
        <v>1</v>
      </c>
      <c r="F51" s="22">
        <f>30/5*G51</f>
        <v>102</v>
      </c>
      <c r="G51" s="22">
        <v>17</v>
      </c>
      <c r="H51" s="41">
        <v>18743.75</v>
      </c>
      <c r="I51" s="41"/>
      <c r="J51" s="41"/>
      <c r="K51" s="41"/>
      <c r="L51" s="41">
        <v>3505.21</v>
      </c>
      <c r="M51" s="41"/>
      <c r="N51" s="41"/>
      <c r="O51" s="41"/>
      <c r="P51" s="41"/>
      <c r="Q51" s="41"/>
      <c r="R51" s="41"/>
      <c r="S51" s="41"/>
      <c r="T51" s="41"/>
      <c r="U51" s="41">
        <v>2496</v>
      </c>
      <c r="V51" s="41">
        <v>2800</v>
      </c>
      <c r="W51" s="41">
        <v>1885</v>
      </c>
      <c r="X51" s="41">
        <v>8828.98</v>
      </c>
      <c r="Y51" s="40">
        <f>SUM(H51:X51)</f>
        <v>38258.94</v>
      </c>
      <c r="Z51" s="41"/>
      <c r="AA51" s="41"/>
    </row>
    <row r="52" spans="1:27" s="3" customFormat="1" x14ac:dyDescent="0.2">
      <c r="A52" s="21">
        <v>43</v>
      </c>
      <c r="B52" s="50" t="s">
        <v>87</v>
      </c>
      <c r="C52" s="21">
        <v>1</v>
      </c>
      <c r="D52" s="21" t="s">
        <v>93</v>
      </c>
      <c r="E52" s="21">
        <v>1</v>
      </c>
      <c r="F52" s="22">
        <f>40/5*G52*C52</f>
        <v>136</v>
      </c>
      <c r="G52" s="22">
        <v>17</v>
      </c>
      <c r="H52" s="41">
        <v>8410</v>
      </c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>
        <v>5947</v>
      </c>
      <c r="T52" s="41"/>
      <c r="U52" s="41"/>
      <c r="V52" s="41"/>
      <c r="W52" s="41">
        <v>1885</v>
      </c>
      <c r="X52" s="41">
        <v>4872.6000000000004</v>
      </c>
      <c r="Y52" s="40">
        <f>SUM(H52:X52)+6334.38</f>
        <v>27448.98</v>
      </c>
      <c r="Z52" s="41"/>
      <c r="AA52" s="41"/>
    </row>
    <row r="53" spans="1:27" s="3" customFormat="1" x14ac:dyDescent="0.2">
      <c r="A53" s="21">
        <v>44</v>
      </c>
      <c r="B53" s="50" t="s">
        <v>88</v>
      </c>
      <c r="C53" s="21">
        <v>0.3</v>
      </c>
      <c r="D53" s="21" t="s">
        <v>93</v>
      </c>
      <c r="E53" s="21">
        <v>0</v>
      </c>
      <c r="F53" s="22"/>
      <c r="G53" s="22">
        <v>17</v>
      </c>
      <c r="H53" s="41">
        <v>2523</v>
      </c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>
        <v>2349.6</v>
      </c>
      <c r="T53" s="41"/>
      <c r="U53" s="41"/>
      <c r="V53" s="41"/>
      <c r="W53" s="41"/>
      <c r="X53" s="41">
        <v>1461.78</v>
      </c>
      <c r="Y53" s="40"/>
      <c r="Z53" s="41"/>
      <c r="AA53" s="41"/>
    </row>
    <row r="54" spans="1:27" s="3" customFormat="1" x14ac:dyDescent="0.2">
      <c r="A54" s="21">
        <v>46</v>
      </c>
      <c r="B54" s="50" t="s">
        <v>90</v>
      </c>
      <c r="C54" s="21">
        <v>1</v>
      </c>
      <c r="D54" s="21" t="s">
        <v>94</v>
      </c>
      <c r="E54" s="21">
        <v>1</v>
      </c>
      <c r="F54" s="22">
        <f>40/5*G54*C54</f>
        <v>136</v>
      </c>
      <c r="G54" s="22">
        <v>17</v>
      </c>
      <c r="H54" s="41">
        <v>4486</v>
      </c>
      <c r="I54" s="41"/>
      <c r="J54" s="41"/>
      <c r="K54" s="41"/>
      <c r="L54" s="41"/>
      <c r="M54" s="41"/>
      <c r="N54" s="41">
        <v>2579.5</v>
      </c>
      <c r="O54" s="41">
        <v>179.44</v>
      </c>
      <c r="P54" s="41"/>
      <c r="Q54" s="41"/>
      <c r="R54" s="41"/>
      <c r="S54" s="41">
        <v>11576.56</v>
      </c>
      <c r="T54" s="41"/>
      <c r="U54" s="41"/>
      <c r="V54" s="41"/>
      <c r="W54" s="41"/>
      <c r="X54" s="41">
        <v>5646.45</v>
      </c>
      <c r="Y54" s="40">
        <f>SUM(H54:X54)+10557.3</f>
        <v>35025.25</v>
      </c>
      <c r="Z54" s="41"/>
      <c r="AA54" s="41"/>
    </row>
    <row r="55" spans="1:27" s="3" customFormat="1" x14ac:dyDescent="0.2">
      <c r="A55" s="21">
        <v>45</v>
      </c>
      <c r="B55" s="50" t="s">
        <v>89</v>
      </c>
      <c r="C55" s="21">
        <v>0.5</v>
      </c>
      <c r="D55" s="21" t="s">
        <v>94</v>
      </c>
      <c r="E55" s="21">
        <v>0</v>
      </c>
      <c r="F55" s="22"/>
      <c r="G55" s="22">
        <v>17</v>
      </c>
      <c r="H55" s="41">
        <v>2243</v>
      </c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>
        <v>5878</v>
      </c>
      <c r="T55" s="41"/>
      <c r="U55" s="41"/>
      <c r="V55" s="41"/>
      <c r="W55" s="41"/>
      <c r="X55" s="41">
        <v>2436.3000000000002</v>
      </c>
      <c r="Y55" s="40"/>
      <c r="Z55" s="41"/>
      <c r="AA55" s="41"/>
    </row>
    <row r="56" spans="1:27" x14ac:dyDescent="0.2">
      <c r="A56" s="29"/>
      <c r="B56" s="29" t="s">
        <v>1</v>
      </c>
      <c r="C56" s="30">
        <v>35.15</v>
      </c>
      <c r="D56" s="30"/>
      <c r="E56" s="30"/>
      <c r="F56" s="30"/>
      <c r="G56" s="30" t="s">
        <v>92</v>
      </c>
      <c r="H56" s="42">
        <v>328538.77</v>
      </c>
      <c r="I56" s="42">
        <v>4583.67</v>
      </c>
      <c r="J56" s="42">
        <v>49996</v>
      </c>
      <c r="K56" s="42">
        <v>2440.79</v>
      </c>
      <c r="L56" s="42">
        <v>50541.25</v>
      </c>
      <c r="M56" s="42">
        <v>1484.21</v>
      </c>
      <c r="N56" s="42">
        <v>4518.91</v>
      </c>
      <c r="O56" s="42">
        <v>1556.4</v>
      </c>
      <c r="P56" s="42">
        <v>2619.25</v>
      </c>
      <c r="Q56" s="42">
        <v>2706.55</v>
      </c>
      <c r="R56" s="42">
        <v>578.41999999999996</v>
      </c>
      <c r="S56" s="42">
        <v>168326.87</v>
      </c>
      <c r="T56" s="42">
        <v>4525.22</v>
      </c>
      <c r="U56" s="42">
        <v>24768</v>
      </c>
      <c r="V56" s="42">
        <v>20000</v>
      </c>
      <c r="W56" s="42">
        <v>26552.44</v>
      </c>
      <c r="X56" s="42">
        <v>206763.46</v>
      </c>
      <c r="Y56" s="43">
        <v>915127.76</v>
      </c>
      <c r="Z56" s="42">
        <v>7390.67</v>
      </c>
      <c r="AA56" s="42">
        <v>7236.88</v>
      </c>
    </row>
    <row r="59" spans="1:27" ht="12.75" customHeight="1" x14ac:dyDescent="0.2">
      <c r="B59" s="4"/>
      <c r="C59" s="4"/>
      <c r="D59" s="4"/>
      <c r="E59" s="4"/>
      <c r="F59" s="4"/>
      <c r="G59" s="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Z59" s="44"/>
      <c r="AA59" s="44"/>
    </row>
  </sheetData>
  <phoneticPr fontId="0" type="noConversion"/>
  <pageMargins left="0.39370078740157483" right="0.26" top="0.3" bottom="0.32" header="0.18" footer="0.18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41"/>
  <sheetViews>
    <sheetView workbookViewId="0">
      <selection activeCell="L6" sqref="L6"/>
    </sheetView>
  </sheetViews>
  <sheetFormatPr defaultRowHeight="12.75" x14ac:dyDescent="0.2"/>
  <cols>
    <col min="1" max="16384" width="9.140625" style="52"/>
  </cols>
  <sheetData>
    <row r="1" ht="30.6" customHeight="1" x14ac:dyDescent="0.2"/>
    <row r="2" ht="13.7" customHeight="1" x14ac:dyDescent="0.2"/>
    <row r="3" ht="38.25" customHeight="1" x14ac:dyDescent="0.2"/>
    <row r="4" ht="15.4" customHeight="1" x14ac:dyDescent="0.2"/>
    <row r="5" ht="15.4" customHeight="1" x14ac:dyDescent="0.2"/>
    <row r="6" ht="15.4" customHeight="1" x14ac:dyDescent="0.2"/>
    <row r="7" ht="15.4" customHeight="1" x14ac:dyDescent="0.2"/>
    <row r="8" ht="15.4" customHeight="1" x14ac:dyDescent="0.2"/>
    <row r="9" ht="15.4" customHeight="1" x14ac:dyDescent="0.2"/>
    <row r="10" ht="15.4" customHeight="1" x14ac:dyDescent="0.2"/>
    <row r="11" ht="15.4" customHeight="1" x14ac:dyDescent="0.2"/>
    <row r="12" ht="15.4" customHeight="1" x14ac:dyDescent="0.2"/>
    <row r="13" ht="15.4" customHeight="1" x14ac:dyDescent="0.2"/>
    <row r="14" ht="15.4" customHeight="1" x14ac:dyDescent="0.2"/>
    <row r="15" ht="15.4" customHeight="1" x14ac:dyDescent="0.2"/>
    <row r="16" ht="15.4" customHeight="1" x14ac:dyDescent="0.2"/>
    <row r="17" ht="15.4" customHeight="1" x14ac:dyDescent="0.2"/>
    <row r="18" ht="15.4" customHeight="1" x14ac:dyDescent="0.2"/>
    <row r="19" ht="15.4" customHeight="1" x14ac:dyDescent="0.2"/>
    <row r="20" ht="15.4" customHeight="1" x14ac:dyDescent="0.2"/>
    <row r="21" ht="15.4" customHeight="1" x14ac:dyDescent="0.2"/>
    <row r="22" ht="15.4" customHeight="1" x14ac:dyDescent="0.2"/>
    <row r="23" ht="15.4" customHeight="1" x14ac:dyDescent="0.2"/>
    <row r="24" ht="12.75" customHeight="1" x14ac:dyDescent="0.2"/>
    <row r="25" ht="15.4" customHeight="1" x14ac:dyDescent="0.2"/>
    <row r="26" ht="15.4" customHeight="1" x14ac:dyDescent="0.2"/>
    <row r="27" ht="14.45" customHeight="1" x14ac:dyDescent="0.2"/>
    <row r="28" ht="12.75" customHeight="1" x14ac:dyDescent="0.2"/>
    <row r="29" ht="13.7" customHeight="1" x14ac:dyDescent="0.2"/>
    <row r="30" ht="15.4" customHeight="1" x14ac:dyDescent="0.2"/>
    <row r="31" ht="15.4" customHeight="1" x14ac:dyDescent="0.2"/>
    <row r="32" ht="16.149999999999999" customHeight="1" x14ac:dyDescent="0.2"/>
    <row r="33" ht="14.45" customHeight="1" x14ac:dyDescent="0.2"/>
    <row r="34" ht="17.100000000000001" customHeight="1" x14ac:dyDescent="0.2"/>
    <row r="35" ht="15.4" customHeight="1" x14ac:dyDescent="0.2"/>
    <row r="36" ht="21.2" customHeight="1" x14ac:dyDescent="0.2"/>
    <row r="37" ht="51" customHeight="1" x14ac:dyDescent="0.2"/>
    <row r="38" ht="25.5" customHeight="1" x14ac:dyDescent="0.2"/>
    <row r="39" ht="16.149999999999999" customHeight="1" x14ac:dyDescent="0.2"/>
    <row r="40" ht="15.4" customHeight="1" x14ac:dyDescent="0.2"/>
    <row r="41" ht="15.4" customHeight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AC64"/>
  <sheetViews>
    <sheetView showZeros="0" workbookViewId="0">
      <pane xSplit="7" ySplit="13" topLeftCell="Y14" activePane="bottomRight" state="frozen"/>
      <selection pane="topRight" activeCell="H1" sqref="H1"/>
      <selection pane="bottomLeft" activeCell="A14" sqref="A14"/>
      <selection pane="bottomRight" activeCell="AC11" sqref="AC11"/>
    </sheetView>
  </sheetViews>
  <sheetFormatPr defaultRowHeight="12.75" customHeight="1" x14ac:dyDescent="0.2"/>
  <cols>
    <col min="1" max="1" width="2.5703125" style="5" customWidth="1"/>
    <col min="2" max="2" width="10.140625" style="5" customWidth="1"/>
    <col min="3" max="3" width="7.28515625" style="5" bestFit="1" customWidth="1"/>
    <col min="4" max="5" width="7.28515625" style="5" customWidth="1"/>
    <col min="6" max="6" width="10.28515625" style="5" customWidth="1"/>
    <col min="7" max="7" width="5" style="5" customWidth="1"/>
    <col min="8" max="10" width="10" style="45" customWidth="1"/>
    <col min="11" max="13" width="16.85546875" style="45" hidden="1" customWidth="1"/>
    <col min="14" max="14" width="11.5703125" style="45" customWidth="1"/>
    <col min="15" max="18" width="16.85546875" style="45" hidden="1" customWidth="1"/>
    <col min="19" max="19" width="13.5703125" style="45" customWidth="1"/>
    <col min="20" max="20" width="12.28515625" style="45" customWidth="1"/>
    <col min="21" max="21" width="16.85546875" style="45" customWidth="1"/>
    <col min="22" max="22" width="16.85546875" style="45" hidden="1" customWidth="1"/>
    <col min="23" max="23" width="16.85546875" style="45" customWidth="1"/>
    <col min="24" max="24" width="13.140625" style="45" customWidth="1"/>
    <col min="25" max="25" width="14" style="45" customWidth="1"/>
    <col min="26" max="27" width="16.85546875" style="45" customWidth="1"/>
    <col min="28" max="16384" width="9.140625" style="5"/>
  </cols>
  <sheetData>
    <row r="1" spans="1:29" s="7" customFormat="1" ht="15.75" x14ac:dyDescent="0.2">
      <c r="A1" s="7" t="s">
        <v>14</v>
      </c>
      <c r="B1" s="11"/>
      <c r="C1" s="11"/>
      <c r="D1" s="11"/>
      <c r="E1" s="11"/>
      <c r="F1" s="9"/>
      <c r="G1" s="9"/>
      <c r="H1" s="33"/>
      <c r="I1" s="33"/>
      <c r="J1" s="33"/>
      <c r="K1" s="33"/>
      <c r="L1" s="33"/>
      <c r="M1" s="33"/>
      <c r="N1" s="33">
        <f>N11+M11+L11+K11</f>
        <v>52025.46</v>
      </c>
      <c r="O1" s="33"/>
      <c r="P1" s="33"/>
      <c r="Q1" s="33"/>
      <c r="R1" s="33"/>
      <c r="S1" s="33">
        <f>S11+R11+Q11+P11+O11</f>
        <v>11124.25</v>
      </c>
      <c r="T1" s="33"/>
      <c r="U1" s="33"/>
      <c r="V1" s="33"/>
      <c r="W1" s="33">
        <f>W11+V11</f>
        <v>36848.97</v>
      </c>
      <c r="X1" s="33"/>
      <c r="Y1" s="34"/>
      <c r="Z1" s="33"/>
      <c r="AA1" s="33"/>
    </row>
    <row r="2" spans="1:29" s="7" customFormat="1" hidden="1" x14ac:dyDescent="0.2">
      <c r="A2" s="7" t="s">
        <v>15</v>
      </c>
      <c r="B2" s="12"/>
      <c r="C2" s="12"/>
      <c r="D2" s="12"/>
      <c r="E2" s="12"/>
      <c r="F2" s="8"/>
      <c r="G2" s="8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4"/>
      <c r="Z2" s="35"/>
      <c r="AA2" s="35"/>
    </row>
    <row r="3" spans="1:29" s="7" customFormat="1" hidden="1" x14ac:dyDescent="0.2">
      <c r="A3" s="7" t="s">
        <v>16</v>
      </c>
      <c r="B3" s="13"/>
      <c r="C3" s="13"/>
      <c r="D3" s="13"/>
      <c r="E3" s="13"/>
      <c r="F3" s="8"/>
      <c r="G3" s="8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4"/>
      <c r="Z3" s="35"/>
      <c r="AA3" s="35"/>
    </row>
    <row r="4" spans="1:29" s="7" customFormat="1" hidden="1" x14ac:dyDescent="0.2">
      <c r="A4" s="7" t="s">
        <v>17</v>
      </c>
      <c r="B4" s="14"/>
      <c r="C4" s="14"/>
      <c r="D4" s="14"/>
      <c r="E4" s="14"/>
      <c r="F4" s="8"/>
      <c r="G4" s="8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4"/>
      <c r="Z4" s="35"/>
      <c r="AA4" s="35"/>
    </row>
    <row r="5" spans="1:29" s="7" customFormat="1" hidden="1" x14ac:dyDescent="0.2">
      <c r="A5" s="7" t="s">
        <v>18</v>
      </c>
      <c r="B5" s="15"/>
      <c r="C5" s="15"/>
      <c r="D5" s="15"/>
      <c r="E5" s="15"/>
      <c r="F5" s="8"/>
      <c r="G5" s="8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4"/>
      <c r="Z5" s="35"/>
      <c r="AA5" s="35"/>
    </row>
    <row r="6" spans="1:29" s="7" customFormat="1" hidden="1" x14ac:dyDescent="0.2">
      <c r="A6" s="7" t="s">
        <v>19</v>
      </c>
      <c r="B6" s="16"/>
      <c r="C6" s="16"/>
      <c r="D6" s="16"/>
      <c r="E6" s="16"/>
      <c r="F6" s="8"/>
      <c r="G6" s="8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4"/>
      <c r="Z6" s="35"/>
      <c r="AA6" s="35"/>
    </row>
    <row r="7" spans="1:29" s="1" customFormat="1" hidden="1" x14ac:dyDescent="0.2">
      <c r="A7" s="1" t="s">
        <v>20</v>
      </c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</row>
    <row r="8" spans="1:29" s="1" customFormat="1" hidden="1" x14ac:dyDescent="0.2">
      <c r="A8" s="1" t="s">
        <v>21</v>
      </c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</row>
    <row r="9" spans="1:29" s="1" customFormat="1" hidden="1" x14ac:dyDescent="0.2">
      <c r="A9" s="1" t="s">
        <v>22</v>
      </c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</row>
    <row r="10" spans="1:29" s="1" customFormat="1" hidden="1" x14ac:dyDescent="0.2">
      <c r="A10" s="1" t="s">
        <v>23</v>
      </c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</row>
    <row r="11" spans="1:29" s="1" customFormat="1" x14ac:dyDescent="0.2">
      <c r="B11" s="20"/>
      <c r="C11" s="46">
        <f>SUBTOTAL(9,C14:C60)</f>
        <v>13</v>
      </c>
      <c r="D11" s="20"/>
      <c r="E11" s="46">
        <f>SUBTOTAL(9,E14:E60)</f>
        <v>13</v>
      </c>
      <c r="F11" s="46">
        <f>SUBTOTAL(9,F14:F60)</f>
        <v>1036.8000000000002</v>
      </c>
      <c r="G11" s="10"/>
      <c r="H11" s="46">
        <f t="shared" ref="H11:AA11" si="0">SUBTOTAL(9,H14:H60)</f>
        <v>180604.84</v>
      </c>
      <c r="I11" s="46">
        <f t="shared" si="0"/>
        <v>0</v>
      </c>
      <c r="J11" s="46">
        <f t="shared" si="0"/>
        <v>24586</v>
      </c>
      <c r="K11" s="46">
        <f t="shared" si="0"/>
        <v>0</v>
      </c>
      <c r="L11" s="46">
        <f t="shared" si="0"/>
        <v>50541.25</v>
      </c>
      <c r="M11" s="46">
        <f t="shared" si="0"/>
        <v>1484.21</v>
      </c>
      <c r="N11" s="46">
        <f t="shared" si="0"/>
        <v>0</v>
      </c>
      <c r="O11" s="46">
        <f t="shared" si="0"/>
        <v>117.75</v>
      </c>
      <c r="P11" s="46">
        <f t="shared" si="0"/>
        <v>0</v>
      </c>
      <c r="Q11" s="46">
        <f t="shared" si="0"/>
        <v>0</v>
      </c>
      <c r="R11" s="46">
        <f t="shared" si="0"/>
        <v>0</v>
      </c>
      <c r="S11" s="46">
        <f t="shared" si="0"/>
        <v>11006.5</v>
      </c>
      <c r="T11" s="46">
        <f t="shared" si="0"/>
        <v>4525.22</v>
      </c>
      <c r="U11" s="46">
        <f t="shared" si="0"/>
        <v>24768</v>
      </c>
      <c r="V11" s="46">
        <f t="shared" si="0"/>
        <v>20000</v>
      </c>
      <c r="W11" s="46">
        <f t="shared" si="0"/>
        <v>16848.97</v>
      </c>
      <c r="X11" s="46">
        <f t="shared" si="0"/>
        <v>98987.26</v>
      </c>
      <c r="Y11" s="46">
        <f t="shared" si="0"/>
        <v>433469.99999999994</v>
      </c>
      <c r="Z11" s="46">
        <f t="shared" si="0"/>
        <v>3769.26</v>
      </c>
      <c r="AA11" s="46">
        <f t="shared" si="0"/>
        <v>7236.88</v>
      </c>
      <c r="AC11" s="51">
        <f>Y11/E11</f>
        <v>33343.846153846149</v>
      </c>
    </row>
    <row r="12" spans="1:29" s="2" customFormat="1" ht="63.75" x14ac:dyDescent="0.2">
      <c r="A12" s="17" t="s">
        <v>2</v>
      </c>
      <c r="B12" s="17" t="s">
        <v>0</v>
      </c>
      <c r="C12" s="17" t="s">
        <v>12</v>
      </c>
      <c r="D12" s="17" t="s">
        <v>11</v>
      </c>
      <c r="E12" s="17" t="s">
        <v>13</v>
      </c>
      <c r="F12" s="17" t="s">
        <v>24</v>
      </c>
      <c r="G12" s="17" t="s">
        <v>25</v>
      </c>
      <c r="H12" s="37" t="s">
        <v>26</v>
      </c>
      <c r="I12" s="37" t="s">
        <v>27</v>
      </c>
      <c r="J12" s="37" t="s">
        <v>28</v>
      </c>
      <c r="K12" s="37" t="s">
        <v>29</v>
      </c>
      <c r="L12" s="37" t="s">
        <v>38</v>
      </c>
      <c r="M12" s="37" t="s">
        <v>39</v>
      </c>
      <c r="N12" s="49" t="s">
        <v>31</v>
      </c>
      <c r="O12" s="37" t="s">
        <v>30</v>
      </c>
      <c r="P12" s="37" t="s">
        <v>32</v>
      </c>
      <c r="Q12" s="37" t="s">
        <v>33</v>
      </c>
      <c r="R12" s="37" t="s">
        <v>34</v>
      </c>
      <c r="S12" s="48" t="s">
        <v>40</v>
      </c>
      <c r="T12" s="37" t="s">
        <v>42</v>
      </c>
      <c r="U12" s="47" t="s">
        <v>36</v>
      </c>
      <c r="V12" s="47" t="s">
        <v>35</v>
      </c>
      <c r="W12" s="47" t="s">
        <v>37</v>
      </c>
      <c r="X12" s="37" t="s">
        <v>41</v>
      </c>
      <c r="Y12" s="38" t="s">
        <v>1</v>
      </c>
      <c r="Z12" s="37" t="s">
        <v>43</v>
      </c>
      <c r="AA12" s="37" t="s">
        <v>44</v>
      </c>
    </row>
    <row r="13" spans="1:29" s="6" customFormat="1" x14ac:dyDescent="0.2">
      <c r="A13" s="18">
        <v>1</v>
      </c>
      <c r="B13" s="18">
        <v>2</v>
      </c>
      <c r="C13" s="18">
        <v>3</v>
      </c>
      <c r="D13" s="18">
        <v>4</v>
      </c>
      <c r="E13" s="18">
        <v>5</v>
      </c>
      <c r="F13" s="19">
        <v>6</v>
      </c>
      <c r="G13" s="19">
        <v>7</v>
      </c>
      <c r="H13" s="39">
        <v>8</v>
      </c>
      <c r="I13" s="39">
        <v>9</v>
      </c>
      <c r="J13" s="39">
        <v>10</v>
      </c>
      <c r="K13" s="39">
        <v>11</v>
      </c>
      <c r="L13" s="39">
        <v>20</v>
      </c>
      <c r="M13" s="39">
        <v>21</v>
      </c>
      <c r="N13" s="39">
        <v>13</v>
      </c>
      <c r="O13" s="39">
        <v>12</v>
      </c>
      <c r="P13" s="39">
        <v>14</v>
      </c>
      <c r="Q13" s="39">
        <v>15</v>
      </c>
      <c r="R13" s="39">
        <v>16</v>
      </c>
      <c r="S13" s="39">
        <v>22</v>
      </c>
      <c r="T13" s="39">
        <v>24</v>
      </c>
      <c r="U13" s="39">
        <v>18</v>
      </c>
      <c r="V13" s="39">
        <v>17</v>
      </c>
      <c r="W13" s="39">
        <v>19</v>
      </c>
      <c r="X13" s="39">
        <v>23</v>
      </c>
      <c r="Y13" s="40"/>
      <c r="Z13" s="39">
        <v>25</v>
      </c>
      <c r="AA13" s="39">
        <v>26</v>
      </c>
    </row>
    <row r="14" spans="1:29" s="3" customFormat="1" x14ac:dyDescent="0.2">
      <c r="A14" s="21">
        <v>1</v>
      </c>
      <c r="B14" s="28" t="s">
        <v>45</v>
      </c>
      <c r="C14" s="21">
        <v>1</v>
      </c>
      <c r="D14" s="21" t="s">
        <v>97</v>
      </c>
      <c r="E14" s="21">
        <v>1</v>
      </c>
      <c r="F14" s="22">
        <f>30/5*G14</f>
        <v>102</v>
      </c>
      <c r="G14" s="22">
        <v>17</v>
      </c>
      <c r="H14" s="41">
        <v>20218.75</v>
      </c>
      <c r="I14" s="41"/>
      <c r="J14" s="41"/>
      <c r="K14" s="41"/>
      <c r="L14" s="41">
        <v>16069.45</v>
      </c>
      <c r="M14" s="41"/>
      <c r="N14" s="41"/>
      <c r="O14" s="41"/>
      <c r="P14" s="41"/>
      <c r="Q14" s="41"/>
      <c r="R14" s="41"/>
      <c r="S14" s="41"/>
      <c r="T14" s="41"/>
      <c r="U14" s="41">
        <v>2304</v>
      </c>
      <c r="V14" s="41">
        <v>1700</v>
      </c>
      <c r="W14" s="41">
        <v>1885</v>
      </c>
      <c r="X14" s="41">
        <v>12653.16</v>
      </c>
      <c r="Y14" s="40">
        <f>SUM(H14:X14)</f>
        <v>54830.36</v>
      </c>
      <c r="Z14" s="41"/>
      <c r="AA14" s="41"/>
    </row>
    <row r="15" spans="1:29" s="3" customFormat="1" x14ac:dyDescent="0.2">
      <c r="A15" s="21">
        <v>2</v>
      </c>
      <c r="B15" s="28" t="s">
        <v>46</v>
      </c>
      <c r="C15" s="21">
        <v>1</v>
      </c>
      <c r="D15" s="21" t="s">
        <v>97</v>
      </c>
      <c r="E15" s="21">
        <v>1</v>
      </c>
      <c r="F15" s="22">
        <f>30/5*G15</f>
        <v>102</v>
      </c>
      <c r="G15" s="22">
        <v>17</v>
      </c>
      <c r="H15" s="41">
        <v>20218.75</v>
      </c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>
        <v>2448</v>
      </c>
      <c r="V15" s="41">
        <v>1700</v>
      </c>
      <c r="W15" s="41">
        <v>1885</v>
      </c>
      <c r="X15" s="41">
        <v>7875.53</v>
      </c>
      <c r="Y15" s="40">
        <f>SUM(H15:X15)</f>
        <v>34127.279999999999</v>
      </c>
      <c r="Z15" s="41"/>
      <c r="AA15" s="41"/>
    </row>
    <row r="16" spans="1:29" s="3" customFormat="1" hidden="1" x14ac:dyDescent="0.2">
      <c r="A16" s="21">
        <v>3</v>
      </c>
      <c r="B16" s="28" t="s">
        <v>47</v>
      </c>
      <c r="C16" s="21">
        <v>1</v>
      </c>
      <c r="D16" s="21" t="s">
        <v>94</v>
      </c>
      <c r="E16" s="21">
        <v>1</v>
      </c>
      <c r="F16" s="22">
        <f>40/5*G16*C16</f>
        <v>136</v>
      </c>
      <c r="G16" s="22">
        <v>17</v>
      </c>
      <c r="H16" s="41"/>
      <c r="I16" s="41">
        <v>4583.67</v>
      </c>
      <c r="J16" s="41"/>
      <c r="K16" s="41"/>
      <c r="L16" s="41"/>
      <c r="M16" s="41"/>
      <c r="N16" s="41"/>
      <c r="O16" s="41"/>
      <c r="P16" s="41">
        <v>654.80999999999995</v>
      </c>
      <c r="Q16" s="41">
        <v>873.08</v>
      </c>
      <c r="R16" s="41">
        <v>185.53</v>
      </c>
      <c r="S16" s="41">
        <v>11472.8</v>
      </c>
      <c r="T16" s="41"/>
      <c r="U16" s="41"/>
      <c r="V16" s="41"/>
      <c r="W16" s="41"/>
      <c r="X16" s="41">
        <v>5330.96</v>
      </c>
      <c r="Y16" s="40">
        <f>SUM(H16:X16)</f>
        <v>23100.85</v>
      </c>
      <c r="Z16" s="41"/>
      <c r="AA16" s="41"/>
    </row>
    <row r="17" spans="1:27" s="3" customFormat="1" x14ac:dyDescent="0.2">
      <c r="A17" s="21">
        <v>4</v>
      </c>
      <c r="B17" s="28" t="s">
        <v>48</v>
      </c>
      <c r="C17" s="21">
        <v>1</v>
      </c>
      <c r="D17" s="21" t="s">
        <v>97</v>
      </c>
      <c r="E17" s="21">
        <v>1</v>
      </c>
      <c r="F17" s="22">
        <f>30/5*G17</f>
        <v>102</v>
      </c>
      <c r="G17" s="22">
        <v>17</v>
      </c>
      <c r="H17" s="41">
        <v>20218.75</v>
      </c>
      <c r="I17" s="41"/>
      <c r="J17" s="41"/>
      <c r="K17" s="41"/>
      <c r="L17" s="41">
        <v>16069.45</v>
      </c>
      <c r="M17" s="41"/>
      <c r="N17" s="41"/>
      <c r="O17" s="41"/>
      <c r="P17" s="41"/>
      <c r="Q17" s="41"/>
      <c r="R17" s="41"/>
      <c r="S17" s="41"/>
      <c r="T17" s="41"/>
      <c r="U17" s="41">
        <v>2544</v>
      </c>
      <c r="V17" s="41">
        <v>900</v>
      </c>
      <c r="W17" s="41">
        <v>1885</v>
      </c>
      <c r="X17" s="41">
        <v>12485.16</v>
      </c>
      <c r="Y17" s="40">
        <f>SUM(H17:X17)</f>
        <v>54102.36</v>
      </c>
      <c r="Z17" s="41"/>
      <c r="AA17" s="41"/>
    </row>
    <row r="18" spans="1:27" s="3" customFormat="1" hidden="1" x14ac:dyDescent="0.2">
      <c r="A18" s="21">
        <v>5</v>
      </c>
      <c r="B18" s="50" t="s">
        <v>49</v>
      </c>
      <c r="C18" s="21">
        <v>1</v>
      </c>
      <c r="D18" s="21" t="s">
        <v>93</v>
      </c>
      <c r="E18" s="21">
        <v>1</v>
      </c>
      <c r="F18" s="22">
        <f>40/5*G18*C18</f>
        <v>136</v>
      </c>
      <c r="G18" s="22">
        <v>17</v>
      </c>
      <c r="H18" s="41">
        <v>8410</v>
      </c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>
        <v>5947</v>
      </c>
      <c r="T18" s="41"/>
      <c r="U18" s="41"/>
      <c r="V18" s="41"/>
      <c r="W18" s="41">
        <v>1885</v>
      </c>
      <c r="X18" s="41">
        <v>4872.6000000000004</v>
      </c>
      <c r="Y18" s="40">
        <f>SUM(H18:X18)+10557.3</f>
        <v>31671.899999999998</v>
      </c>
      <c r="Z18" s="41"/>
      <c r="AA18" s="41"/>
    </row>
    <row r="19" spans="1:27" s="3" customFormat="1" hidden="1" x14ac:dyDescent="0.2">
      <c r="A19" s="21">
        <v>6</v>
      </c>
      <c r="B19" s="50" t="s">
        <v>50</v>
      </c>
      <c r="C19" s="21">
        <v>0.5</v>
      </c>
      <c r="D19" s="21" t="s">
        <v>93</v>
      </c>
      <c r="E19" s="21">
        <v>0</v>
      </c>
      <c r="F19" s="22"/>
      <c r="G19" s="22">
        <v>17</v>
      </c>
      <c r="H19" s="41">
        <v>4205</v>
      </c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>
        <v>3916</v>
      </c>
      <c r="T19" s="41"/>
      <c r="U19" s="41"/>
      <c r="V19" s="41"/>
      <c r="W19" s="41"/>
      <c r="X19" s="41">
        <v>2436.3000000000002</v>
      </c>
      <c r="Y19" s="40"/>
      <c r="Z19" s="41"/>
      <c r="AA19" s="41"/>
    </row>
    <row r="20" spans="1:27" s="3" customFormat="1" hidden="1" x14ac:dyDescent="0.2">
      <c r="A20" s="21">
        <v>7</v>
      </c>
      <c r="B20" s="28" t="s">
        <v>51</v>
      </c>
      <c r="C20" s="21">
        <v>1</v>
      </c>
      <c r="D20" s="21" t="s">
        <v>93</v>
      </c>
      <c r="E20" s="21">
        <v>1</v>
      </c>
      <c r="F20" s="22">
        <f>40/5*G20*C20</f>
        <v>136</v>
      </c>
      <c r="G20" s="22">
        <v>17</v>
      </c>
      <c r="H20" s="41">
        <v>11212</v>
      </c>
      <c r="I20" s="41"/>
      <c r="J20" s="41">
        <v>16818</v>
      </c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>
        <v>8409</v>
      </c>
      <c r="Y20" s="40">
        <f>SUM(H20:X20)</f>
        <v>36439</v>
      </c>
      <c r="Z20" s="41"/>
      <c r="AA20" s="41"/>
    </row>
    <row r="21" spans="1:27" s="3" customFormat="1" hidden="1" x14ac:dyDescent="0.2">
      <c r="A21" s="21">
        <v>8</v>
      </c>
      <c r="B21" s="28" t="s">
        <v>52</v>
      </c>
      <c r="C21" s="21">
        <v>1</v>
      </c>
      <c r="D21" s="21" t="s">
        <v>96</v>
      </c>
      <c r="E21" s="21">
        <v>1</v>
      </c>
      <c r="F21" s="22">
        <f>40/5*G21*C21</f>
        <v>120</v>
      </c>
      <c r="G21" s="22">
        <v>15</v>
      </c>
      <c r="H21" s="41">
        <v>14814.94</v>
      </c>
      <c r="I21" s="41"/>
      <c r="J21" s="41"/>
      <c r="K21" s="41">
        <v>1319.29</v>
      </c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>
        <v>4840.2700000000004</v>
      </c>
      <c r="Y21" s="40">
        <f>SUM(H21:X21)</f>
        <v>20974.5</v>
      </c>
      <c r="Z21" s="41">
        <v>2641.88</v>
      </c>
      <c r="AA21" s="41"/>
    </row>
    <row r="22" spans="1:27" s="3" customFormat="1" hidden="1" x14ac:dyDescent="0.2">
      <c r="A22" s="21">
        <v>9</v>
      </c>
      <c r="B22" s="50" t="s">
        <v>53</v>
      </c>
      <c r="C22" s="21">
        <v>1</v>
      </c>
      <c r="D22" s="21" t="s">
        <v>93</v>
      </c>
      <c r="E22" s="21">
        <v>1</v>
      </c>
      <c r="F22" s="22">
        <f>40/5*G22*C22</f>
        <v>136</v>
      </c>
      <c r="G22" s="22">
        <v>17</v>
      </c>
      <c r="H22" s="41">
        <v>8410</v>
      </c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>
        <v>5947</v>
      </c>
      <c r="T22" s="41"/>
      <c r="U22" s="41"/>
      <c r="V22" s="41"/>
      <c r="W22" s="41">
        <v>1885</v>
      </c>
      <c r="X22" s="41">
        <v>4872.6000000000004</v>
      </c>
      <c r="Y22" s="40">
        <f>SUM(H22:X22)+6334.38</f>
        <v>27448.98</v>
      </c>
      <c r="Z22" s="41"/>
      <c r="AA22" s="41"/>
    </row>
    <row r="23" spans="1:27" s="3" customFormat="1" hidden="1" x14ac:dyDescent="0.2">
      <c r="A23" s="21">
        <v>10</v>
      </c>
      <c r="B23" s="50" t="s">
        <v>54</v>
      </c>
      <c r="C23" s="21">
        <v>0.3</v>
      </c>
      <c r="D23" s="21" t="s">
        <v>93</v>
      </c>
      <c r="E23" s="21">
        <v>0</v>
      </c>
      <c r="F23" s="22"/>
      <c r="G23" s="22">
        <v>17</v>
      </c>
      <c r="H23" s="41">
        <v>2523</v>
      </c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>
        <v>2349.6</v>
      </c>
      <c r="T23" s="41"/>
      <c r="U23" s="41"/>
      <c r="V23" s="41"/>
      <c r="W23" s="41"/>
      <c r="X23" s="41">
        <v>1461.78</v>
      </c>
      <c r="Y23" s="40"/>
      <c r="Z23" s="41"/>
      <c r="AA23" s="41"/>
    </row>
    <row r="24" spans="1:27" s="3" customFormat="1" hidden="1" x14ac:dyDescent="0.2">
      <c r="A24" s="21">
        <v>11</v>
      </c>
      <c r="B24" s="28" t="s">
        <v>55</v>
      </c>
      <c r="C24" s="21">
        <v>0.5</v>
      </c>
      <c r="D24" s="21" t="s">
        <v>98</v>
      </c>
      <c r="E24" s="21">
        <v>1</v>
      </c>
      <c r="F24" s="22">
        <f>30/5*G24*C24</f>
        <v>51</v>
      </c>
      <c r="G24" s="22">
        <v>17</v>
      </c>
      <c r="H24" s="41">
        <v>5046.88</v>
      </c>
      <c r="I24" s="41"/>
      <c r="J24" s="41"/>
      <c r="K24" s="41"/>
      <c r="L24" s="41"/>
      <c r="M24" s="41"/>
      <c r="N24" s="41"/>
      <c r="O24" s="41">
        <v>201.88</v>
      </c>
      <c r="P24" s="41"/>
      <c r="Q24" s="41"/>
      <c r="R24" s="41"/>
      <c r="S24" s="41">
        <v>1929.74</v>
      </c>
      <c r="T24" s="41"/>
      <c r="U24" s="41"/>
      <c r="V24" s="41"/>
      <c r="W24" s="41">
        <v>942.5</v>
      </c>
      <c r="X24" s="41">
        <v>2436.3000000000002</v>
      </c>
      <c r="Y24" s="40">
        <f>SUM(H24:X24)</f>
        <v>10557.3</v>
      </c>
      <c r="Z24" s="41"/>
      <c r="AA24" s="41"/>
    </row>
    <row r="25" spans="1:27" s="3" customFormat="1" hidden="1" x14ac:dyDescent="0.2">
      <c r="A25" s="21">
        <v>12</v>
      </c>
      <c r="B25" s="50" t="s">
        <v>56</v>
      </c>
      <c r="C25" s="21">
        <v>0.5</v>
      </c>
      <c r="D25" s="21" t="s">
        <v>94</v>
      </c>
      <c r="E25" s="21">
        <v>1</v>
      </c>
      <c r="F25" s="22">
        <f>40/5*G25*C25</f>
        <v>68</v>
      </c>
      <c r="G25" s="22">
        <v>17</v>
      </c>
      <c r="H25" s="41">
        <v>2355</v>
      </c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>
        <v>5766</v>
      </c>
      <c r="T25" s="41"/>
      <c r="U25" s="41"/>
      <c r="V25" s="41"/>
      <c r="W25" s="41"/>
      <c r="X25" s="41">
        <v>2436.3000000000002</v>
      </c>
      <c r="Y25" s="40">
        <f>SUM(H25:X25)+10557.3</f>
        <v>21114.6</v>
      </c>
      <c r="Z25" s="41"/>
      <c r="AA25" s="41"/>
    </row>
    <row r="26" spans="1:27" s="3" customFormat="1" hidden="1" x14ac:dyDescent="0.2">
      <c r="A26" s="21">
        <v>13</v>
      </c>
      <c r="B26" s="50" t="s">
        <v>57</v>
      </c>
      <c r="C26" s="21">
        <v>0.5</v>
      </c>
      <c r="D26" s="21" t="s">
        <v>94</v>
      </c>
      <c r="E26" s="21">
        <v>0</v>
      </c>
      <c r="F26" s="22"/>
      <c r="G26" s="22">
        <v>17</v>
      </c>
      <c r="H26" s="41">
        <v>2243</v>
      </c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>
        <v>5878</v>
      </c>
      <c r="T26" s="41"/>
      <c r="U26" s="41"/>
      <c r="V26" s="41"/>
      <c r="W26" s="41"/>
      <c r="X26" s="41">
        <v>2436.3000000000002</v>
      </c>
      <c r="Y26" s="40"/>
      <c r="Z26" s="41"/>
      <c r="AA26" s="41"/>
    </row>
    <row r="27" spans="1:27" s="3" customFormat="1" x14ac:dyDescent="0.2">
      <c r="A27" s="21">
        <v>14</v>
      </c>
      <c r="B27" s="50" t="s">
        <v>58</v>
      </c>
      <c r="C27" s="21">
        <v>1</v>
      </c>
      <c r="D27" s="21" t="s">
        <v>95</v>
      </c>
      <c r="E27" s="21">
        <v>1</v>
      </c>
      <c r="F27" s="22">
        <f>30/5*G27</f>
        <v>102</v>
      </c>
      <c r="G27" s="22">
        <v>17</v>
      </c>
      <c r="H27" s="41">
        <v>16175</v>
      </c>
      <c r="I27" s="41"/>
      <c r="J27" s="41">
        <v>24586</v>
      </c>
      <c r="K27" s="41"/>
      <c r="L27" s="41"/>
      <c r="M27" s="41">
        <v>1484.21</v>
      </c>
      <c r="N27" s="41"/>
      <c r="O27" s="41"/>
      <c r="P27" s="41"/>
      <c r="Q27" s="41"/>
      <c r="R27" s="41"/>
      <c r="S27" s="41"/>
      <c r="T27" s="41"/>
      <c r="U27" s="41">
        <v>1728</v>
      </c>
      <c r="V27" s="41">
        <v>5000</v>
      </c>
      <c r="W27" s="41">
        <v>885</v>
      </c>
      <c r="X27" s="41">
        <v>14957.47</v>
      </c>
      <c r="Y27" s="40">
        <f>SUM(H27:X27)+10557.3</f>
        <v>75372.98</v>
      </c>
      <c r="Z27" s="41">
        <v>3769.26</v>
      </c>
      <c r="AA27" s="41"/>
    </row>
    <row r="28" spans="1:27" s="3" customFormat="1" x14ac:dyDescent="0.2">
      <c r="A28" s="21">
        <v>15</v>
      </c>
      <c r="B28" s="50" t="s">
        <v>59</v>
      </c>
      <c r="C28" s="21">
        <v>0.5</v>
      </c>
      <c r="D28" s="21" t="s">
        <v>95</v>
      </c>
      <c r="E28" s="21">
        <v>0</v>
      </c>
      <c r="F28" s="22"/>
      <c r="G28" s="22">
        <v>17</v>
      </c>
      <c r="H28" s="41">
        <v>2943.75</v>
      </c>
      <c r="I28" s="41"/>
      <c r="J28" s="41"/>
      <c r="K28" s="41"/>
      <c r="L28" s="41"/>
      <c r="M28" s="41"/>
      <c r="N28" s="41"/>
      <c r="O28" s="41">
        <v>117.75</v>
      </c>
      <c r="P28" s="41"/>
      <c r="Q28" s="41"/>
      <c r="R28" s="41"/>
      <c r="S28" s="41">
        <v>5059.5</v>
      </c>
      <c r="T28" s="41"/>
      <c r="U28" s="41"/>
      <c r="V28" s="41"/>
      <c r="W28" s="41"/>
      <c r="X28" s="41">
        <v>2436.3000000000002</v>
      </c>
      <c r="Y28" s="40"/>
      <c r="Z28" s="41"/>
      <c r="AA28" s="41"/>
    </row>
    <row r="29" spans="1:27" s="3" customFormat="1" x14ac:dyDescent="0.2">
      <c r="A29" s="21">
        <v>16</v>
      </c>
      <c r="B29" s="28" t="s">
        <v>60</v>
      </c>
      <c r="C29" s="21">
        <v>1</v>
      </c>
      <c r="D29" s="21" t="s">
        <v>97</v>
      </c>
      <c r="E29" s="21">
        <v>1</v>
      </c>
      <c r="F29" s="22">
        <f>30/5*G29</f>
        <v>0</v>
      </c>
      <c r="G29" s="22">
        <v>0</v>
      </c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>
        <v>2256</v>
      </c>
      <c r="V29" s="41">
        <v>1400</v>
      </c>
      <c r="W29" s="41"/>
      <c r="X29" s="41">
        <v>1096.8</v>
      </c>
      <c r="Y29" s="40">
        <f t="shared" ref="Y29:Y35" si="1">SUM(H29:X29)</f>
        <v>4752.8</v>
      </c>
      <c r="Z29" s="41"/>
      <c r="AA29" s="41"/>
    </row>
    <row r="30" spans="1:27" s="3" customFormat="1" x14ac:dyDescent="0.2">
      <c r="A30" s="21">
        <v>17</v>
      </c>
      <c r="B30" s="28" t="s">
        <v>61</v>
      </c>
      <c r="C30" s="21">
        <v>0.5</v>
      </c>
      <c r="D30" s="21" t="s">
        <v>95</v>
      </c>
      <c r="E30" s="21">
        <v>1</v>
      </c>
      <c r="F30" s="22">
        <f>36/5*G30*C30</f>
        <v>61.2</v>
      </c>
      <c r="G30" s="22">
        <v>17</v>
      </c>
      <c r="H30" s="41">
        <v>7497.5</v>
      </c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>
        <v>0</v>
      </c>
      <c r="T30" s="41"/>
      <c r="U30" s="41">
        <v>864</v>
      </c>
      <c r="V30" s="41">
        <v>1600</v>
      </c>
      <c r="W30" s="41">
        <v>442.5</v>
      </c>
      <c r="X30" s="41">
        <v>3121.2</v>
      </c>
      <c r="Y30" s="40">
        <f t="shared" si="1"/>
        <v>13525.2</v>
      </c>
      <c r="Z30" s="41"/>
      <c r="AA30" s="41"/>
    </row>
    <row r="31" spans="1:27" s="3" customFormat="1" x14ac:dyDescent="0.2">
      <c r="A31" s="21">
        <v>18</v>
      </c>
      <c r="B31" s="28" t="s">
        <v>62</v>
      </c>
      <c r="C31" s="21">
        <v>1</v>
      </c>
      <c r="D31" s="21" t="s">
        <v>97</v>
      </c>
      <c r="E31" s="21">
        <v>1</v>
      </c>
      <c r="F31" s="22">
        <f>30/5*G31</f>
        <v>102</v>
      </c>
      <c r="G31" s="22">
        <v>17</v>
      </c>
      <c r="H31" s="41">
        <v>14700</v>
      </c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>
        <v>4525.22</v>
      </c>
      <c r="U31" s="41">
        <v>528</v>
      </c>
      <c r="V31" s="41">
        <v>600</v>
      </c>
      <c r="W31" s="41">
        <v>1885</v>
      </c>
      <c r="X31" s="41">
        <v>5313.9</v>
      </c>
      <c r="Y31" s="40">
        <f t="shared" si="1"/>
        <v>27552.120000000003</v>
      </c>
      <c r="Z31" s="41"/>
      <c r="AA31" s="41"/>
    </row>
    <row r="32" spans="1:27" s="3" customFormat="1" x14ac:dyDescent="0.2">
      <c r="A32" s="21">
        <v>19</v>
      </c>
      <c r="B32" s="28" t="s">
        <v>63</v>
      </c>
      <c r="C32" s="21">
        <v>1</v>
      </c>
      <c r="D32" s="21" t="s">
        <v>97</v>
      </c>
      <c r="E32" s="21">
        <v>1</v>
      </c>
      <c r="F32" s="22">
        <f>30/5*G32</f>
        <v>102</v>
      </c>
      <c r="G32" s="22">
        <v>17</v>
      </c>
      <c r="H32" s="41">
        <v>8410</v>
      </c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>
        <v>5947</v>
      </c>
      <c r="T32" s="41"/>
      <c r="U32" s="41"/>
      <c r="V32" s="41"/>
      <c r="W32" s="41">
        <v>1885</v>
      </c>
      <c r="X32" s="41">
        <v>4872.6000000000004</v>
      </c>
      <c r="Y32" s="40">
        <f t="shared" si="1"/>
        <v>21114.6</v>
      </c>
      <c r="Z32" s="41"/>
      <c r="AA32" s="41"/>
    </row>
    <row r="33" spans="1:27" s="3" customFormat="1" hidden="1" x14ac:dyDescent="0.2">
      <c r="A33" s="21">
        <v>20</v>
      </c>
      <c r="B33" s="28" t="s">
        <v>64</v>
      </c>
      <c r="C33" s="21">
        <v>1</v>
      </c>
      <c r="D33" s="21" t="s">
        <v>94</v>
      </c>
      <c r="E33" s="21">
        <v>1</v>
      </c>
      <c r="F33" s="22">
        <f>40/5*G33*C33</f>
        <v>40</v>
      </c>
      <c r="G33" s="22">
        <v>5</v>
      </c>
      <c r="H33" s="41">
        <v>2619.2399999999998</v>
      </c>
      <c r="I33" s="41"/>
      <c r="J33" s="41"/>
      <c r="K33" s="41"/>
      <c r="L33" s="41"/>
      <c r="M33" s="41"/>
      <c r="N33" s="41"/>
      <c r="O33" s="41"/>
      <c r="P33" s="41">
        <v>982.22</v>
      </c>
      <c r="Q33" s="41">
        <v>436.54</v>
      </c>
      <c r="R33" s="41">
        <v>98.22</v>
      </c>
      <c r="S33" s="41">
        <v>2059.6</v>
      </c>
      <c r="T33" s="41"/>
      <c r="U33" s="41"/>
      <c r="V33" s="41"/>
      <c r="W33" s="41"/>
      <c r="X33" s="41">
        <v>1858.75</v>
      </c>
      <c r="Y33" s="40">
        <f t="shared" si="1"/>
        <v>8054.57</v>
      </c>
      <c r="Z33" s="41"/>
      <c r="AA33" s="41"/>
    </row>
    <row r="34" spans="1:27" s="3" customFormat="1" hidden="1" x14ac:dyDescent="0.2">
      <c r="A34" s="21">
        <v>21</v>
      </c>
      <c r="B34" s="28" t="s">
        <v>65</v>
      </c>
      <c r="C34" s="21">
        <v>0.5</v>
      </c>
      <c r="D34" s="21" t="s">
        <v>100</v>
      </c>
      <c r="E34" s="21">
        <v>1</v>
      </c>
      <c r="F34" s="22">
        <f>40/5*G34*C34</f>
        <v>68</v>
      </c>
      <c r="G34" s="22">
        <v>17</v>
      </c>
      <c r="H34" s="41">
        <v>2943.75</v>
      </c>
      <c r="I34" s="41"/>
      <c r="J34" s="41"/>
      <c r="K34" s="41"/>
      <c r="L34" s="41"/>
      <c r="M34" s="41"/>
      <c r="N34" s="41"/>
      <c r="O34" s="41">
        <v>117.75</v>
      </c>
      <c r="P34" s="41"/>
      <c r="Q34" s="41"/>
      <c r="R34" s="41"/>
      <c r="S34" s="41">
        <v>5059.5</v>
      </c>
      <c r="T34" s="41"/>
      <c r="U34" s="41"/>
      <c r="V34" s="41"/>
      <c r="W34" s="41"/>
      <c r="X34" s="41">
        <v>2436.3000000000002</v>
      </c>
      <c r="Y34" s="40">
        <f t="shared" si="1"/>
        <v>10557.3</v>
      </c>
      <c r="Z34" s="41"/>
      <c r="AA34" s="41"/>
    </row>
    <row r="35" spans="1:27" s="3" customFormat="1" hidden="1" x14ac:dyDescent="0.2">
      <c r="A35" s="21">
        <v>22</v>
      </c>
      <c r="B35" s="28" t="s">
        <v>66</v>
      </c>
      <c r="C35" s="21">
        <v>0.5</v>
      </c>
      <c r="D35" s="21" t="s">
        <v>100</v>
      </c>
      <c r="E35" s="21">
        <v>1</v>
      </c>
      <c r="F35" s="22">
        <f>40/5*G35*C35</f>
        <v>68</v>
      </c>
      <c r="G35" s="22">
        <v>17</v>
      </c>
      <c r="H35" s="41">
        <v>2355</v>
      </c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>
        <v>5766</v>
      </c>
      <c r="T35" s="41"/>
      <c r="U35" s="41"/>
      <c r="V35" s="41"/>
      <c r="W35" s="41"/>
      <c r="X35" s="41">
        <v>2436.3000000000002</v>
      </c>
      <c r="Y35" s="40">
        <f t="shared" si="1"/>
        <v>10557.3</v>
      </c>
      <c r="Z35" s="41">
        <v>979.53</v>
      </c>
      <c r="AA35" s="41"/>
    </row>
    <row r="36" spans="1:27" s="3" customFormat="1" hidden="1" x14ac:dyDescent="0.2">
      <c r="A36" s="21">
        <v>23</v>
      </c>
      <c r="B36" s="50" t="s">
        <v>67</v>
      </c>
      <c r="C36" s="21">
        <v>1</v>
      </c>
      <c r="D36" s="21" t="s">
        <v>94</v>
      </c>
      <c r="E36" s="21">
        <v>1</v>
      </c>
      <c r="F36" s="22">
        <f>40/5*G36*C36</f>
        <v>136</v>
      </c>
      <c r="G36" s="22">
        <v>17</v>
      </c>
      <c r="H36" s="41">
        <v>7010</v>
      </c>
      <c r="I36" s="41"/>
      <c r="J36" s="41"/>
      <c r="K36" s="41"/>
      <c r="L36" s="41"/>
      <c r="M36" s="41"/>
      <c r="N36" s="41">
        <v>1177.5</v>
      </c>
      <c r="O36" s="41">
        <v>280.39999999999998</v>
      </c>
      <c r="P36" s="41"/>
      <c r="Q36" s="41"/>
      <c r="R36" s="41"/>
      <c r="S36" s="41">
        <v>8951.6</v>
      </c>
      <c r="T36" s="41"/>
      <c r="U36" s="41"/>
      <c r="V36" s="41"/>
      <c r="W36" s="41"/>
      <c r="X36" s="41">
        <v>5225.8500000000004</v>
      </c>
      <c r="Y36" s="40">
        <f>SUM(H36:X36)+5278.65</f>
        <v>27924</v>
      </c>
      <c r="Z36" s="41"/>
      <c r="AA36" s="41"/>
    </row>
    <row r="37" spans="1:27" s="3" customFormat="1" hidden="1" x14ac:dyDescent="0.2">
      <c r="A37" s="21">
        <v>24</v>
      </c>
      <c r="B37" s="50" t="s">
        <v>68</v>
      </c>
      <c r="C37" s="21">
        <v>0.25</v>
      </c>
      <c r="D37" s="21" t="s">
        <v>94</v>
      </c>
      <c r="E37" s="21">
        <v>0</v>
      </c>
      <c r="F37" s="22"/>
      <c r="G37" s="22">
        <v>17</v>
      </c>
      <c r="H37" s="41">
        <v>1752.5</v>
      </c>
      <c r="I37" s="41"/>
      <c r="J37" s="41"/>
      <c r="K37" s="41"/>
      <c r="L37" s="41"/>
      <c r="M37" s="41"/>
      <c r="N37" s="41"/>
      <c r="O37" s="41">
        <v>70.099999999999994</v>
      </c>
      <c r="P37" s="41"/>
      <c r="Q37" s="41"/>
      <c r="R37" s="41"/>
      <c r="S37" s="41">
        <v>2237.9</v>
      </c>
      <c r="T37" s="41"/>
      <c r="U37" s="41"/>
      <c r="V37" s="41"/>
      <c r="W37" s="41"/>
      <c r="X37" s="41">
        <v>1218.1500000000001</v>
      </c>
      <c r="Y37" s="40"/>
      <c r="Z37" s="41"/>
      <c r="AA37" s="41"/>
    </row>
    <row r="38" spans="1:27" s="3" customFormat="1" hidden="1" x14ac:dyDescent="0.2">
      <c r="A38" s="21">
        <v>25</v>
      </c>
      <c r="B38" s="50" t="s">
        <v>69</v>
      </c>
      <c r="C38" s="21">
        <v>1</v>
      </c>
      <c r="D38" s="21" t="s">
        <v>94</v>
      </c>
      <c r="E38" s="21">
        <v>1</v>
      </c>
      <c r="F38" s="22">
        <f>40/5*G38*C38</f>
        <v>136</v>
      </c>
      <c r="G38" s="22">
        <v>17</v>
      </c>
      <c r="H38" s="41">
        <v>7570</v>
      </c>
      <c r="I38" s="41"/>
      <c r="J38" s="41"/>
      <c r="K38" s="41"/>
      <c r="L38" s="41"/>
      <c r="M38" s="41"/>
      <c r="N38" s="41">
        <v>761.91</v>
      </c>
      <c r="O38" s="41">
        <v>302.8</v>
      </c>
      <c r="P38" s="41"/>
      <c r="Q38" s="41"/>
      <c r="R38" s="41"/>
      <c r="S38" s="41">
        <v>8369.2000000000007</v>
      </c>
      <c r="T38" s="41"/>
      <c r="U38" s="41"/>
      <c r="V38" s="41"/>
      <c r="W38" s="41"/>
      <c r="X38" s="41">
        <v>5101.17</v>
      </c>
      <c r="Y38" s="40">
        <f>SUM(H38:X38)+5278.65</f>
        <v>27383.730000000003</v>
      </c>
      <c r="Z38" s="41"/>
      <c r="AA38" s="41"/>
    </row>
    <row r="39" spans="1:27" s="3" customFormat="1" hidden="1" x14ac:dyDescent="0.2">
      <c r="A39" s="21">
        <v>26</v>
      </c>
      <c r="B39" s="50" t="s">
        <v>70</v>
      </c>
      <c r="C39" s="21">
        <v>0.25</v>
      </c>
      <c r="D39" s="21" t="s">
        <v>94</v>
      </c>
      <c r="E39" s="21">
        <v>0</v>
      </c>
      <c r="F39" s="22"/>
      <c r="G39" s="22">
        <v>17</v>
      </c>
      <c r="H39" s="41">
        <v>1892.5</v>
      </c>
      <c r="I39" s="41"/>
      <c r="J39" s="41"/>
      <c r="K39" s="41"/>
      <c r="L39" s="41"/>
      <c r="M39" s="41"/>
      <c r="N39" s="41"/>
      <c r="O39" s="41">
        <v>75.7</v>
      </c>
      <c r="P39" s="41"/>
      <c r="Q39" s="41"/>
      <c r="R39" s="41"/>
      <c r="S39" s="41">
        <v>2092.3000000000002</v>
      </c>
      <c r="T39" s="41"/>
      <c r="U39" s="41"/>
      <c r="V39" s="41"/>
      <c r="W39" s="41"/>
      <c r="X39" s="41">
        <v>1218.1500000000001</v>
      </c>
      <c r="Y39" s="40"/>
      <c r="Z39" s="41"/>
      <c r="AA39" s="41"/>
    </row>
    <row r="40" spans="1:27" s="3" customFormat="1" x14ac:dyDescent="0.2">
      <c r="A40" s="21">
        <v>27</v>
      </c>
      <c r="B40" s="50" t="s">
        <v>71</v>
      </c>
      <c r="C40" s="21">
        <v>0.5</v>
      </c>
      <c r="D40" s="21" t="s">
        <v>97</v>
      </c>
      <c r="E40" s="21">
        <v>1</v>
      </c>
      <c r="F40" s="22">
        <f>30/5*G40*C40</f>
        <v>0</v>
      </c>
      <c r="G40" s="22">
        <v>0</v>
      </c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>
        <v>1488</v>
      </c>
      <c r="V40" s="41"/>
      <c r="W40" s="41"/>
      <c r="X40" s="41">
        <v>446.4</v>
      </c>
      <c r="Y40" s="40">
        <f>SUM(H40:X40)+3286.4</f>
        <v>5220.8</v>
      </c>
      <c r="Z40" s="41"/>
      <c r="AA40" s="41"/>
    </row>
    <row r="41" spans="1:27" s="3" customFormat="1" x14ac:dyDescent="0.2">
      <c r="A41" s="21">
        <v>28</v>
      </c>
      <c r="B41" s="50" t="s">
        <v>72</v>
      </c>
      <c r="C41" s="21">
        <v>0.5</v>
      </c>
      <c r="D41" s="21" t="s">
        <v>97</v>
      </c>
      <c r="E41" s="21">
        <v>0</v>
      </c>
      <c r="F41" s="22"/>
      <c r="G41" s="22">
        <v>0</v>
      </c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>
        <v>1728</v>
      </c>
      <c r="V41" s="41">
        <v>800</v>
      </c>
      <c r="W41" s="41"/>
      <c r="X41" s="41">
        <v>758.4</v>
      </c>
      <c r="Y41" s="40"/>
      <c r="Z41" s="41"/>
      <c r="AA41" s="41"/>
    </row>
    <row r="42" spans="1:27" s="3" customFormat="1" x14ac:dyDescent="0.2">
      <c r="A42" s="21">
        <v>29</v>
      </c>
      <c r="B42" s="28" t="s">
        <v>73</v>
      </c>
      <c r="C42" s="21">
        <v>1</v>
      </c>
      <c r="D42" s="21" t="s">
        <v>97</v>
      </c>
      <c r="E42" s="21">
        <v>1</v>
      </c>
      <c r="F42" s="22">
        <f>30/5*G42</f>
        <v>102</v>
      </c>
      <c r="G42" s="22">
        <v>17</v>
      </c>
      <c r="H42" s="41">
        <v>18743.75</v>
      </c>
      <c r="I42" s="41"/>
      <c r="J42" s="41"/>
      <c r="K42" s="41"/>
      <c r="L42" s="41">
        <v>14897.14</v>
      </c>
      <c r="M42" s="41"/>
      <c r="N42" s="41"/>
      <c r="O42" s="41"/>
      <c r="P42" s="41"/>
      <c r="Q42" s="41"/>
      <c r="R42" s="41"/>
      <c r="S42" s="41"/>
      <c r="T42" s="41"/>
      <c r="U42" s="41">
        <v>2544</v>
      </c>
      <c r="V42" s="41">
        <v>1200</v>
      </c>
      <c r="W42" s="41">
        <v>1885</v>
      </c>
      <c r="X42" s="41">
        <v>11780.97</v>
      </c>
      <c r="Y42" s="40">
        <f>SUM(H42:X42)</f>
        <v>51050.86</v>
      </c>
      <c r="Z42" s="41"/>
      <c r="AA42" s="41"/>
    </row>
    <row r="43" spans="1:27" s="3" customFormat="1" hidden="1" x14ac:dyDescent="0.2">
      <c r="A43" s="21">
        <v>30</v>
      </c>
      <c r="B43" s="28" t="s">
        <v>74</v>
      </c>
      <c r="C43" s="21">
        <v>0.5</v>
      </c>
      <c r="D43" s="21" t="s">
        <v>94</v>
      </c>
      <c r="E43" s="21">
        <v>1</v>
      </c>
      <c r="F43" s="22">
        <f>40/5*G43*C43</f>
        <v>20</v>
      </c>
      <c r="G43" s="22">
        <v>5</v>
      </c>
      <c r="H43" s="41">
        <v>659.71</v>
      </c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>
        <v>1728.82</v>
      </c>
      <c r="T43" s="41"/>
      <c r="U43" s="41"/>
      <c r="V43" s="41"/>
      <c r="W43" s="41"/>
      <c r="X43" s="41">
        <v>716.56</v>
      </c>
      <c r="Y43" s="40">
        <f>SUM(H43:X43)</f>
        <v>3105.0899999999997</v>
      </c>
      <c r="Z43" s="41"/>
      <c r="AA43" s="41"/>
    </row>
    <row r="44" spans="1:27" s="3" customFormat="1" hidden="1" x14ac:dyDescent="0.2">
      <c r="A44" s="21">
        <v>31</v>
      </c>
      <c r="B44" s="28" t="s">
        <v>75</v>
      </c>
      <c r="C44" s="21">
        <v>1</v>
      </c>
      <c r="D44" s="21" t="s">
        <v>94</v>
      </c>
      <c r="E44" s="21">
        <v>1</v>
      </c>
      <c r="F44" s="22">
        <f>40/5*G44*C44</f>
        <v>96</v>
      </c>
      <c r="G44" s="22">
        <v>12</v>
      </c>
      <c r="H44" s="41">
        <v>2619.2399999999998</v>
      </c>
      <c r="I44" s="41"/>
      <c r="J44" s="41"/>
      <c r="K44" s="41"/>
      <c r="L44" s="41"/>
      <c r="M44" s="41"/>
      <c r="N44" s="41"/>
      <c r="O44" s="41"/>
      <c r="P44" s="41"/>
      <c r="Q44" s="41">
        <v>523.85</v>
      </c>
      <c r="R44" s="41">
        <v>109.14</v>
      </c>
      <c r="S44" s="41">
        <v>8736.56</v>
      </c>
      <c r="T44" s="41"/>
      <c r="U44" s="41"/>
      <c r="V44" s="41"/>
      <c r="W44" s="41"/>
      <c r="X44" s="41">
        <v>3596.64</v>
      </c>
      <c r="Y44" s="40">
        <f>SUM(H44:X44)</f>
        <v>15585.429999999998</v>
      </c>
      <c r="Z44" s="41"/>
      <c r="AA44" s="41"/>
    </row>
    <row r="45" spans="1:27" s="3" customFormat="1" hidden="1" x14ac:dyDescent="0.2">
      <c r="A45" s="21">
        <v>32</v>
      </c>
      <c r="B45" s="50" t="s">
        <v>76</v>
      </c>
      <c r="C45" s="21">
        <v>1</v>
      </c>
      <c r="D45" s="21" t="s">
        <v>93</v>
      </c>
      <c r="E45" s="21">
        <v>1</v>
      </c>
      <c r="F45" s="22">
        <f>40/5*G45*C45</f>
        <v>136</v>
      </c>
      <c r="G45" s="22">
        <v>17</v>
      </c>
      <c r="H45" s="41">
        <v>8410</v>
      </c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>
        <v>5947</v>
      </c>
      <c r="T45" s="41"/>
      <c r="U45" s="41"/>
      <c r="V45" s="41"/>
      <c r="W45" s="41">
        <v>1885</v>
      </c>
      <c r="X45" s="41">
        <v>4872.6000000000004</v>
      </c>
      <c r="Y45" s="40">
        <f>SUM(H45:X45)+6334.38</f>
        <v>27448.98</v>
      </c>
      <c r="Z45" s="41"/>
      <c r="AA45" s="41"/>
    </row>
    <row r="46" spans="1:27" s="3" customFormat="1" hidden="1" x14ac:dyDescent="0.2">
      <c r="A46" s="21">
        <v>33</v>
      </c>
      <c r="B46" s="50" t="s">
        <v>77</v>
      </c>
      <c r="C46" s="21">
        <v>0.3</v>
      </c>
      <c r="D46" s="21" t="s">
        <v>93</v>
      </c>
      <c r="E46" s="21">
        <v>0</v>
      </c>
      <c r="F46" s="22"/>
      <c r="G46" s="22">
        <v>17</v>
      </c>
      <c r="H46" s="41">
        <v>2523</v>
      </c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>
        <v>2349.6</v>
      </c>
      <c r="T46" s="41"/>
      <c r="U46" s="41"/>
      <c r="V46" s="41"/>
      <c r="W46" s="41"/>
      <c r="X46" s="41">
        <v>1461.78</v>
      </c>
      <c r="Y46" s="40"/>
      <c r="Z46" s="41"/>
      <c r="AA46" s="41"/>
    </row>
    <row r="47" spans="1:27" s="3" customFormat="1" x14ac:dyDescent="0.2">
      <c r="A47" s="21">
        <v>34</v>
      </c>
      <c r="B47" s="28" t="s">
        <v>78</v>
      </c>
      <c r="C47" s="21">
        <v>1</v>
      </c>
      <c r="D47" s="21" t="s">
        <v>97</v>
      </c>
      <c r="E47" s="21">
        <v>1</v>
      </c>
      <c r="F47" s="22">
        <f>30/5*G47</f>
        <v>78</v>
      </c>
      <c r="G47" s="22">
        <v>13</v>
      </c>
      <c r="H47" s="41">
        <v>15461.4</v>
      </c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>
        <v>2016</v>
      </c>
      <c r="V47" s="41">
        <v>1700</v>
      </c>
      <c r="W47" s="41">
        <v>1441.47</v>
      </c>
      <c r="X47" s="41">
        <v>6185.66</v>
      </c>
      <c r="Y47" s="40">
        <f>SUM(H47:X47)</f>
        <v>26804.530000000002</v>
      </c>
      <c r="Z47" s="41"/>
      <c r="AA47" s="41">
        <v>7236.88</v>
      </c>
    </row>
    <row r="48" spans="1:27" s="3" customFormat="1" hidden="1" x14ac:dyDescent="0.2">
      <c r="A48" s="21">
        <v>35</v>
      </c>
      <c r="B48" s="28" t="s">
        <v>79</v>
      </c>
      <c r="C48" s="21">
        <v>1</v>
      </c>
      <c r="D48" s="21" t="s">
        <v>94</v>
      </c>
      <c r="E48" s="21">
        <v>1</v>
      </c>
      <c r="F48" s="22">
        <f>40/5*G48*C48</f>
        <v>136</v>
      </c>
      <c r="G48" s="22">
        <v>17</v>
      </c>
      <c r="H48" s="41">
        <v>4911.08</v>
      </c>
      <c r="I48" s="41"/>
      <c r="J48" s="41"/>
      <c r="K48" s="41"/>
      <c r="L48" s="41"/>
      <c r="M48" s="41"/>
      <c r="N48" s="41"/>
      <c r="O48" s="41"/>
      <c r="P48" s="41">
        <v>982.22</v>
      </c>
      <c r="Q48" s="41">
        <v>873.08</v>
      </c>
      <c r="R48" s="41">
        <v>185.53</v>
      </c>
      <c r="S48" s="41">
        <v>11145.39</v>
      </c>
      <c r="T48" s="41"/>
      <c r="U48" s="41"/>
      <c r="V48" s="41"/>
      <c r="W48" s="41"/>
      <c r="X48" s="41">
        <v>5429.19</v>
      </c>
      <c r="Y48" s="40">
        <f>SUM(H48:X48)</f>
        <v>23526.489999999998</v>
      </c>
      <c r="Z48" s="41"/>
      <c r="AA48" s="41"/>
    </row>
    <row r="49" spans="1:27" s="3" customFormat="1" hidden="1" x14ac:dyDescent="0.2">
      <c r="A49" s="21">
        <v>36</v>
      </c>
      <c r="B49" s="50" t="s">
        <v>80</v>
      </c>
      <c r="C49" s="21">
        <v>1</v>
      </c>
      <c r="D49" s="21" t="s">
        <v>94</v>
      </c>
      <c r="E49" s="21">
        <v>1</v>
      </c>
      <c r="F49" s="22">
        <f>40/5*G49*C49</f>
        <v>136</v>
      </c>
      <c r="G49" s="22">
        <v>17</v>
      </c>
      <c r="H49" s="41">
        <v>4486</v>
      </c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>
        <v>11756</v>
      </c>
      <c r="T49" s="41"/>
      <c r="U49" s="41"/>
      <c r="V49" s="41"/>
      <c r="W49" s="41"/>
      <c r="X49" s="41">
        <v>4872.6000000000004</v>
      </c>
      <c r="Y49" s="40">
        <f>SUM(H49:X49)+6334.38</f>
        <v>27448.98</v>
      </c>
      <c r="Z49" s="41"/>
      <c r="AA49" s="41"/>
    </row>
    <row r="50" spans="1:27" s="3" customFormat="1" hidden="1" x14ac:dyDescent="0.2">
      <c r="A50" s="21">
        <v>37</v>
      </c>
      <c r="B50" s="50" t="s">
        <v>81</v>
      </c>
      <c r="C50" s="21">
        <v>0.3</v>
      </c>
      <c r="D50" s="21" t="s">
        <v>94</v>
      </c>
      <c r="E50" s="21">
        <v>0</v>
      </c>
      <c r="F50" s="22"/>
      <c r="G50" s="22">
        <v>17</v>
      </c>
      <c r="H50" s="41">
        <v>2523</v>
      </c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>
        <v>1784.1</v>
      </c>
      <c r="T50" s="41"/>
      <c r="U50" s="41"/>
      <c r="V50" s="41"/>
      <c r="W50" s="41">
        <v>565.5</v>
      </c>
      <c r="X50" s="41">
        <v>1461.78</v>
      </c>
      <c r="Y50" s="40"/>
      <c r="Z50" s="41"/>
      <c r="AA50" s="41"/>
    </row>
    <row r="51" spans="1:27" s="3" customFormat="1" hidden="1" x14ac:dyDescent="0.2">
      <c r="A51" s="21">
        <v>38</v>
      </c>
      <c r="B51" s="50" t="s">
        <v>82</v>
      </c>
      <c r="C51" s="21">
        <v>1</v>
      </c>
      <c r="D51" s="21" t="s">
        <v>93</v>
      </c>
      <c r="E51" s="21">
        <v>1</v>
      </c>
      <c r="F51" s="22">
        <f>40/5*G51*C51</f>
        <v>136</v>
      </c>
      <c r="G51" s="22">
        <v>17</v>
      </c>
      <c r="H51" s="41">
        <v>6728</v>
      </c>
      <c r="I51" s="41"/>
      <c r="J51" s="41">
        <v>8592</v>
      </c>
      <c r="K51" s="41">
        <v>1121.5</v>
      </c>
      <c r="L51" s="41"/>
      <c r="M51" s="41"/>
      <c r="N51" s="41"/>
      <c r="O51" s="41"/>
      <c r="P51" s="41"/>
      <c r="Q51" s="41"/>
      <c r="R51" s="41"/>
      <c r="S51" s="41">
        <v>922</v>
      </c>
      <c r="T51" s="41"/>
      <c r="U51" s="41"/>
      <c r="V51" s="41"/>
      <c r="W51" s="41"/>
      <c r="X51" s="41">
        <v>5209.05</v>
      </c>
      <c r="Y51" s="40">
        <f>SUM(H51:X51)+10557.3</f>
        <v>33129.85</v>
      </c>
      <c r="Z51" s="41"/>
      <c r="AA51" s="41"/>
    </row>
    <row r="52" spans="1:27" s="3" customFormat="1" hidden="1" x14ac:dyDescent="0.2">
      <c r="A52" s="21">
        <v>39</v>
      </c>
      <c r="B52" s="50" t="s">
        <v>83</v>
      </c>
      <c r="C52" s="21">
        <v>0.5</v>
      </c>
      <c r="D52" s="21" t="s">
        <v>93</v>
      </c>
      <c r="E52" s="21">
        <v>0</v>
      </c>
      <c r="F52" s="22"/>
      <c r="G52" s="22">
        <v>17</v>
      </c>
      <c r="H52" s="41">
        <v>4205</v>
      </c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>
        <v>3916</v>
      </c>
      <c r="T52" s="41"/>
      <c r="U52" s="41"/>
      <c r="V52" s="41"/>
      <c r="W52" s="41"/>
      <c r="X52" s="41">
        <v>2436.3000000000002</v>
      </c>
      <c r="Y52" s="40"/>
      <c r="Z52" s="41"/>
      <c r="AA52" s="41"/>
    </row>
    <row r="53" spans="1:27" s="3" customFormat="1" x14ac:dyDescent="0.2">
      <c r="A53" s="21">
        <v>40</v>
      </c>
      <c r="B53" s="28" t="s">
        <v>84</v>
      </c>
      <c r="C53" s="21">
        <v>1</v>
      </c>
      <c r="D53" s="21" t="s">
        <v>95</v>
      </c>
      <c r="E53" s="21">
        <v>1</v>
      </c>
      <c r="F53" s="22">
        <f>24/5*G53</f>
        <v>81.599999999999994</v>
      </c>
      <c r="G53" s="22">
        <v>17</v>
      </c>
      <c r="H53" s="41">
        <v>17273.439999999999</v>
      </c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>
        <v>1824</v>
      </c>
      <c r="V53" s="41">
        <v>600</v>
      </c>
      <c r="W53" s="41">
        <v>885</v>
      </c>
      <c r="X53" s="41">
        <v>6174.73</v>
      </c>
      <c r="Y53" s="40">
        <f>SUM(H53:X53)</f>
        <v>26757.17</v>
      </c>
      <c r="Z53" s="41"/>
      <c r="AA53" s="41"/>
    </row>
    <row r="54" spans="1:27" s="3" customFormat="1" x14ac:dyDescent="0.2">
      <c r="A54" s="21">
        <v>41</v>
      </c>
      <c r="B54" s="28" t="s">
        <v>85</v>
      </c>
      <c r="C54" s="21">
        <v>1</v>
      </c>
      <c r="D54" s="21" t="s">
        <v>97</v>
      </c>
      <c r="E54" s="21">
        <v>1</v>
      </c>
      <c r="F54" s="22">
        <f>30/5*G54</f>
        <v>102</v>
      </c>
      <c r="G54" s="22">
        <v>17</v>
      </c>
      <c r="H54" s="41">
        <v>18743.75</v>
      </c>
      <c r="I54" s="41"/>
      <c r="J54" s="41"/>
      <c r="K54" s="41"/>
      <c r="L54" s="41">
        <v>3505.21</v>
      </c>
      <c r="M54" s="41"/>
      <c r="N54" s="41"/>
      <c r="O54" s="41"/>
      <c r="P54" s="41"/>
      <c r="Q54" s="41"/>
      <c r="R54" s="41"/>
      <c r="S54" s="41"/>
      <c r="T54" s="41"/>
      <c r="U54" s="41">
        <v>2496</v>
      </c>
      <c r="V54" s="41">
        <v>2800</v>
      </c>
      <c r="W54" s="41">
        <v>1885</v>
      </c>
      <c r="X54" s="41">
        <v>8828.98</v>
      </c>
      <c r="Y54" s="40">
        <f>SUM(H54:X54)</f>
        <v>38258.94</v>
      </c>
      <c r="Z54" s="41"/>
      <c r="AA54" s="41"/>
    </row>
    <row r="55" spans="1:27" s="3" customFormat="1" hidden="1" x14ac:dyDescent="0.2">
      <c r="A55" s="21">
        <v>42</v>
      </c>
      <c r="B55" s="28" t="s">
        <v>86</v>
      </c>
      <c r="C55" s="21">
        <v>0.45</v>
      </c>
      <c r="D55" s="21" t="s">
        <v>99</v>
      </c>
      <c r="E55" s="21">
        <v>1</v>
      </c>
      <c r="F55" s="22">
        <f>30/5*G55*C55</f>
        <v>45.9</v>
      </c>
      <c r="G55" s="22">
        <v>17</v>
      </c>
      <c r="H55" s="41">
        <v>5264.59</v>
      </c>
      <c r="I55" s="41"/>
      <c r="J55" s="41"/>
      <c r="K55" s="41"/>
      <c r="L55" s="41"/>
      <c r="M55" s="41"/>
      <c r="N55" s="41"/>
      <c r="O55" s="41">
        <v>210.58</v>
      </c>
      <c r="P55" s="41"/>
      <c r="Q55" s="41"/>
      <c r="R55" s="41"/>
      <c r="S55" s="41"/>
      <c r="T55" s="41"/>
      <c r="U55" s="41"/>
      <c r="V55" s="41"/>
      <c r="W55" s="41">
        <v>655.47</v>
      </c>
      <c r="X55" s="41">
        <v>1839.19</v>
      </c>
      <c r="Y55" s="40">
        <f>SUM(H55:X55)</f>
        <v>7969.83</v>
      </c>
      <c r="Z55" s="41"/>
      <c r="AA55" s="41"/>
    </row>
    <row r="56" spans="1:27" s="3" customFormat="1" hidden="1" x14ac:dyDescent="0.2">
      <c r="A56" s="21">
        <v>43</v>
      </c>
      <c r="B56" s="50" t="s">
        <v>87</v>
      </c>
      <c r="C56" s="21">
        <v>1</v>
      </c>
      <c r="D56" s="21" t="s">
        <v>93</v>
      </c>
      <c r="E56" s="21">
        <v>1</v>
      </c>
      <c r="F56" s="22">
        <f>40/5*G56*C56</f>
        <v>136</v>
      </c>
      <c r="G56" s="22">
        <v>17</v>
      </c>
      <c r="H56" s="41">
        <v>8410</v>
      </c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>
        <v>5947</v>
      </c>
      <c r="T56" s="41"/>
      <c r="U56" s="41"/>
      <c r="V56" s="41"/>
      <c r="W56" s="41">
        <v>1885</v>
      </c>
      <c r="X56" s="41">
        <v>4872.6000000000004</v>
      </c>
      <c r="Y56" s="40">
        <f>SUM(H56:X56)+6334.38</f>
        <v>27448.98</v>
      </c>
      <c r="Z56" s="41"/>
      <c r="AA56" s="41"/>
    </row>
    <row r="57" spans="1:27" s="3" customFormat="1" hidden="1" x14ac:dyDescent="0.2">
      <c r="A57" s="21">
        <v>44</v>
      </c>
      <c r="B57" s="50" t="s">
        <v>88</v>
      </c>
      <c r="C57" s="21">
        <v>0.3</v>
      </c>
      <c r="D57" s="21" t="s">
        <v>93</v>
      </c>
      <c r="E57" s="21">
        <v>0</v>
      </c>
      <c r="F57" s="22"/>
      <c r="G57" s="22">
        <v>17</v>
      </c>
      <c r="H57" s="41">
        <v>2523</v>
      </c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>
        <v>2349.6</v>
      </c>
      <c r="T57" s="41"/>
      <c r="U57" s="41"/>
      <c r="V57" s="41"/>
      <c r="W57" s="41"/>
      <c r="X57" s="41">
        <v>1461.78</v>
      </c>
      <c r="Y57" s="40"/>
      <c r="Z57" s="41"/>
      <c r="AA57" s="41"/>
    </row>
    <row r="58" spans="1:27" s="3" customFormat="1" hidden="1" x14ac:dyDescent="0.2">
      <c r="A58" s="21">
        <v>46</v>
      </c>
      <c r="B58" s="50" t="s">
        <v>90</v>
      </c>
      <c r="C58" s="21">
        <v>1</v>
      </c>
      <c r="D58" s="21" t="s">
        <v>94</v>
      </c>
      <c r="E58" s="21">
        <v>1</v>
      </c>
      <c r="F58" s="22">
        <f>40/5*G58*C58</f>
        <v>136</v>
      </c>
      <c r="G58" s="22">
        <v>17</v>
      </c>
      <c r="H58" s="41">
        <v>4486</v>
      </c>
      <c r="I58" s="41"/>
      <c r="J58" s="41"/>
      <c r="K58" s="41"/>
      <c r="L58" s="41"/>
      <c r="M58" s="41"/>
      <c r="N58" s="41">
        <v>2579.5</v>
      </c>
      <c r="O58" s="41">
        <v>179.44</v>
      </c>
      <c r="P58" s="41"/>
      <c r="Q58" s="41"/>
      <c r="R58" s="41"/>
      <c r="S58" s="41">
        <v>11576.56</v>
      </c>
      <c r="T58" s="41"/>
      <c r="U58" s="41"/>
      <c r="V58" s="41"/>
      <c r="W58" s="41"/>
      <c r="X58" s="41">
        <v>5646.45</v>
      </c>
      <c r="Y58" s="40">
        <f>SUM(H58:X58)+10557.3</f>
        <v>35025.25</v>
      </c>
      <c r="Z58" s="41"/>
      <c r="AA58" s="41"/>
    </row>
    <row r="59" spans="1:27" s="3" customFormat="1" hidden="1" x14ac:dyDescent="0.2">
      <c r="A59" s="21">
        <v>45</v>
      </c>
      <c r="B59" s="50" t="s">
        <v>89</v>
      </c>
      <c r="C59" s="21">
        <v>0.5</v>
      </c>
      <c r="D59" s="21" t="s">
        <v>94</v>
      </c>
      <c r="E59" s="21">
        <v>0</v>
      </c>
      <c r="F59" s="22"/>
      <c r="G59" s="22">
        <v>17</v>
      </c>
      <c r="H59" s="41">
        <v>2243</v>
      </c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>
        <v>5878</v>
      </c>
      <c r="T59" s="41"/>
      <c r="U59" s="41"/>
      <c r="V59" s="41"/>
      <c r="W59" s="41"/>
      <c r="X59" s="41">
        <v>2436.3000000000002</v>
      </c>
      <c r="Y59" s="40"/>
      <c r="Z59" s="41"/>
      <c r="AA59" s="41"/>
    </row>
    <row r="60" spans="1:27" s="3" customFormat="1" hidden="1" x14ac:dyDescent="0.2">
      <c r="A60" s="21">
        <v>47</v>
      </c>
      <c r="B60" s="28" t="s">
        <v>91</v>
      </c>
      <c r="C60" s="21">
        <v>0.5</v>
      </c>
      <c r="D60" s="21" t="s">
        <v>100</v>
      </c>
      <c r="E60" s="21">
        <v>1</v>
      </c>
      <c r="F60" s="22">
        <f>40/5*G60*C60</f>
        <v>68</v>
      </c>
      <c r="G60" s="22">
        <v>17</v>
      </c>
      <c r="H60" s="41">
        <v>2579.5</v>
      </c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>
        <v>5541.5</v>
      </c>
      <c r="T60" s="41"/>
      <c r="U60" s="41"/>
      <c r="V60" s="41"/>
      <c r="W60" s="41"/>
      <c r="X60" s="41">
        <v>2436.3000000000002</v>
      </c>
      <c r="Y60" s="40">
        <f>SUM(H60:X60)</f>
        <v>10557.3</v>
      </c>
      <c r="Z60" s="41"/>
      <c r="AA60" s="41"/>
    </row>
    <row r="61" spans="1:27" hidden="1" x14ac:dyDescent="0.2">
      <c r="A61" s="29"/>
      <c r="B61" s="29" t="s">
        <v>1</v>
      </c>
      <c r="C61" s="30">
        <v>35.15</v>
      </c>
      <c r="D61" s="30"/>
      <c r="E61" s="30"/>
      <c r="F61" s="30"/>
      <c r="G61" s="30" t="s">
        <v>92</v>
      </c>
      <c r="H61" s="42">
        <v>328538.77</v>
      </c>
      <c r="I61" s="42">
        <v>4583.67</v>
      </c>
      <c r="J61" s="42">
        <v>49996</v>
      </c>
      <c r="K61" s="42">
        <v>2440.79</v>
      </c>
      <c r="L61" s="42">
        <v>50541.25</v>
      </c>
      <c r="M61" s="42">
        <v>1484.21</v>
      </c>
      <c r="N61" s="42">
        <v>4518.91</v>
      </c>
      <c r="O61" s="42">
        <v>1556.4</v>
      </c>
      <c r="P61" s="42">
        <v>2619.25</v>
      </c>
      <c r="Q61" s="42">
        <v>2706.55</v>
      </c>
      <c r="R61" s="42">
        <v>578.41999999999996</v>
      </c>
      <c r="S61" s="42">
        <v>168326.87</v>
      </c>
      <c r="T61" s="42">
        <v>4525.22</v>
      </c>
      <c r="U61" s="42">
        <v>24768</v>
      </c>
      <c r="V61" s="42">
        <v>20000</v>
      </c>
      <c r="W61" s="42">
        <v>26552.44</v>
      </c>
      <c r="X61" s="42">
        <v>206763.46</v>
      </c>
      <c r="Y61" s="43">
        <v>915127.76</v>
      </c>
      <c r="Z61" s="42">
        <v>7390.67</v>
      </c>
      <c r="AA61" s="42">
        <v>7236.88</v>
      </c>
    </row>
    <row r="64" spans="1:27" ht="12.75" customHeight="1" x14ac:dyDescent="0.2">
      <c r="B64" s="4"/>
      <c r="C64" s="4"/>
      <c r="D64" s="4"/>
      <c r="E64" s="4"/>
      <c r="F64" s="4"/>
      <c r="G64" s="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Z64" s="44"/>
      <c r="AA64" s="44"/>
    </row>
  </sheetData>
  <autoFilter ref="A13:Y61">
    <filterColumn colId="3">
      <filters>
        <filter val="восп"/>
        <filter val="пр пп"/>
      </filters>
    </filterColumn>
  </autoFilter>
  <pageMargins left="0.39370078740157483" right="0.26" top="0.3" bottom="0.32" header="0.18" footer="0.18"/>
  <pageSetup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7"/>
  <sheetViews>
    <sheetView workbookViewId="0">
      <selection activeCell="F7" sqref="F7"/>
    </sheetView>
  </sheetViews>
  <sheetFormatPr defaultRowHeight="12.75" x14ac:dyDescent="0.2"/>
  <cols>
    <col min="1" max="1" width="40" customWidth="1"/>
    <col min="2" max="2" width="20.85546875" bestFit="1" customWidth="1"/>
    <col min="3" max="3" width="7.140625" customWidth="1"/>
    <col min="4" max="4" width="8.85546875" customWidth="1"/>
    <col min="5" max="5" width="21" customWidth="1"/>
    <col min="6" max="6" width="9.85546875" customWidth="1"/>
  </cols>
  <sheetData>
    <row r="1" spans="1:6" ht="18" x14ac:dyDescent="0.25">
      <c r="A1" s="24" t="s">
        <v>3</v>
      </c>
      <c r="B1" s="25"/>
      <c r="C1" s="25"/>
      <c r="D1" s="25"/>
      <c r="E1" s="25"/>
      <c r="F1" s="25"/>
    </row>
    <row r="3" spans="1:6" x14ac:dyDescent="0.2">
      <c r="B3" s="26" t="s">
        <v>9</v>
      </c>
      <c r="C3" s="8"/>
    </row>
    <row r="4" spans="1:6" x14ac:dyDescent="0.2">
      <c r="B4" s="26" t="s">
        <v>10</v>
      </c>
      <c r="C4" s="8"/>
    </row>
    <row r="6" spans="1:6" x14ac:dyDescent="0.2">
      <c r="A6" s="27" t="s">
        <v>0</v>
      </c>
      <c r="B6" s="27" t="s">
        <v>4</v>
      </c>
      <c r="C6" s="27" t="s">
        <v>5</v>
      </c>
      <c r="D6" s="27" t="s">
        <v>6</v>
      </c>
      <c r="E6" s="27" t="s">
        <v>7</v>
      </c>
      <c r="F6" s="27" t="s">
        <v>8</v>
      </c>
    </row>
    <row r="7" spans="1:6" x14ac:dyDescent="0.2">
      <c r="A7" s="23"/>
      <c r="B7" s="31"/>
      <c r="C7" s="31"/>
      <c r="D7" s="31"/>
      <c r="E7" s="31"/>
      <c r="F7" s="32"/>
    </row>
  </sheetData>
  <phoneticPr fontId="15" type="noConversion"/>
  <pageMargins left="0.75" right="0.75" top="1" bottom="1" header="0.5" footer="0.5"/>
  <pageSetup paperSize="9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168</vt:i4>
      </vt:variant>
    </vt:vector>
  </HeadingPairs>
  <TitlesOfParts>
    <vt:vector size="172" baseType="lpstr">
      <vt:lpstr>1</vt:lpstr>
      <vt:lpstr>2</vt:lpstr>
      <vt:lpstr>Шахматка (2)</vt:lpstr>
      <vt:lpstr>ВнЗВ</vt:lpstr>
      <vt:lpstr>ВнЗВВидРасч</vt:lpstr>
      <vt:lpstr>ВнЗВГод</vt:lpstr>
      <vt:lpstr>ВнЗВДетали</vt:lpstr>
      <vt:lpstr>ВнЗВМесяц</vt:lpstr>
      <vt:lpstr>ВнЗВНазвание</vt:lpstr>
      <vt:lpstr>ВнЗВНП</vt:lpstr>
      <vt:lpstr>ВнЗВОП</vt:lpstr>
      <vt:lpstr>ВнЗВСумма</vt:lpstr>
      <vt:lpstr>ВнЗВФИО</vt:lpstr>
      <vt:lpstr>'Шахматка (2)'!ГРУПВЫПЛАТ.1</vt:lpstr>
      <vt:lpstr>ГРУПВЫПЛАТ.1</vt:lpstr>
      <vt:lpstr>'Шахматка (2)'!ГРУПВЫПЛАТ.10</vt:lpstr>
      <vt:lpstr>ГРУПВЫПЛАТ.10</vt:lpstr>
      <vt:lpstr>'Шахматка (2)'!ГРУПВЫПЛАТ.11</vt:lpstr>
      <vt:lpstr>ГРУПВЫПЛАТ.11</vt:lpstr>
      <vt:lpstr>'Шахматка (2)'!ГРУПВЫПЛАТ.12</vt:lpstr>
      <vt:lpstr>ГРУПВЫПЛАТ.12</vt:lpstr>
      <vt:lpstr>'Шахматка (2)'!ГРУПВЫПЛАТ.13</vt:lpstr>
      <vt:lpstr>ГРУПВЫПЛАТ.13</vt:lpstr>
      <vt:lpstr>'Шахматка (2)'!ГРУПВЫПЛАТ.14</vt:lpstr>
      <vt:lpstr>ГРУПВЫПЛАТ.14</vt:lpstr>
      <vt:lpstr>'Шахматка (2)'!ГРУПВЫПЛАТ.15</vt:lpstr>
      <vt:lpstr>ГРУПВЫПЛАТ.15</vt:lpstr>
      <vt:lpstr>'Шахматка (2)'!ГРУПВЫПЛАТ.16</vt:lpstr>
      <vt:lpstr>ГРУПВЫПЛАТ.16</vt:lpstr>
      <vt:lpstr>'Шахматка (2)'!ГРУПВЫПЛАТ.17</vt:lpstr>
      <vt:lpstr>ГРУПВЫПЛАТ.17</vt:lpstr>
      <vt:lpstr>'Шахматка (2)'!ГРУПВЫПЛАТ.18</vt:lpstr>
      <vt:lpstr>ГРУПВЫПЛАТ.18</vt:lpstr>
      <vt:lpstr>'Шахматка (2)'!ГРУПВЫПЛАТ.19</vt:lpstr>
      <vt:lpstr>ГРУПВЫПЛАТ.19</vt:lpstr>
      <vt:lpstr>'Шахматка (2)'!ГРУПВЫПЛАТ.2</vt:lpstr>
      <vt:lpstr>ГРУПВЫПЛАТ.2</vt:lpstr>
      <vt:lpstr>'Шахматка (2)'!ГРУПВЫПЛАТ.20</vt:lpstr>
      <vt:lpstr>ГРУПВЫПЛАТ.20</vt:lpstr>
      <vt:lpstr>'Шахматка (2)'!ГРУПВЫПЛАТ.21</vt:lpstr>
      <vt:lpstr>ГРУПВЫПЛАТ.21</vt:lpstr>
      <vt:lpstr>'Шахматка (2)'!ГРУПВЫПЛАТ.3</vt:lpstr>
      <vt:lpstr>ГРУПВЫПЛАТ.3</vt:lpstr>
      <vt:lpstr>'Шахматка (2)'!ГРУПВЫПЛАТ.4</vt:lpstr>
      <vt:lpstr>ГРУПВЫПЛАТ.4</vt:lpstr>
      <vt:lpstr>'Шахматка (2)'!ГРУПВЫПЛАТ.5</vt:lpstr>
      <vt:lpstr>ГРУПВЫПЛАТ.5</vt:lpstr>
      <vt:lpstr>'Шахматка (2)'!ГРУПВЫПЛАТ.6</vt:lpstr>
      <vt:lpstr>ГРУПВЫПЛАТ.6</vt:lpstr>
      <vt:lpstr>'Шахматка (2)'!ГРУПВЫПЛАТ.7</vt:lpstr>
      <vt:lpstr>ГРУПВЫПЛАТ.7</vt:lpstr>
      <vt:lpstr>'Шахматка (2)'!ГРУПВЫПЛАТ.8</vt:lpstr>
      <vt:lpstr>ГРУПВЫПЛАТ.8</vt:lpstr>
      <vt:lpstr>'Шахматка (2)'!ГРУПВЫПЛАТ.9</vt:lpstr>
      <vt:lpstr>ГРУПВЫПЛАТ.9</vt:lpstr>
      <vt:lpstr>'Шахматка (2)'!ДЕТАЛИ.1</vt:lpstr>
      <vt:lpstr>ДЕТАЛИ.1</vt:lpstr>
      <vt:lpstr>'Шахматка (2)'!ДЕТАЛИ.10</vt:lpstr>
      <vt:lpstr>ДЕТАЛИ.10</vt:lpstr>
      <vt:lpstr>'Шахматка (2)'!ДЕТАЛИ.11</vt:lpstr>
      <vt:lpstr>'Шахматка (2)'!ДЕТАЛИ.12</vt:lpstr>
      <vt:lpstr>ДЕТАЛИ.12</vt:lpstr>
      <vt:lpstr>'Шахматка (2)'!ДЕТАЛИ.13</vt:lpstr>
      <vt:lpstr>ДЕТАЛИ.13</vt:lpstr>
      <vt:lpstr>'Шахматка (2)'!ДЕТАЛИ.14</vt:lpstr>
      <vt:lpstr>ДЕТАЛИ.14</vt:lpstr>
      <vt:lpstr>'Шахматка (2)'!ДЕТАЛИ.15</vt:lpstr>
      <vt:lpstr>ДЕТАЛИ.15</vt:lpstr>
      <vt:lpstr>'Шахматка (2)'!ДЕТАЛИ.16</vt:lpstr>
      <vt:lpstr>ДЕТАЛИ.16</vt:lpstr>
      <vt:lpstr>'Шахматка (2)'!ДЕТАЛИ.17</vt:lpstr>
      <vt:lpstr>ДЕТАЛИ.17</vt:lpstr>
      <vt:lpstr>'Шахматка (2)'!ДЕТАЛИ.18</vt:lpstr>
      <vt:lpstr>ДЕТАЛИ.18</vt:lpstr>
      <vt:lpstr>'Шахматка (2)'!ДЕТАЛИ.19</vt:lpstr>
      <vt:lpstr>ДЕТАЛИ.19</vt:lpstr>
      <vt:lpstr>'Шахматка (2)'!ДЕТАЛИ.2</vt:lpstr>
      <vt:lpstr>ДЕТАЛИ.2</vt:lpstr>
      <vt:lpstr>'Шахматка (2)'!ДЕТАЛИ.20</vt:lpstr>
      <vt:lpstr>ДЕТАЛИ.20</vt:lpstr>
      <vt:lpstr>'Шахматка (2)'!ДЕТАЛИ.21</vt:lpstr>
      <vt:lpstr>'Шахматка (2)'!ДЕТАЛИ.22</vt:lpstr>
      <vt:lpstr>'Шахматка (2)'!ДЕТАЛИ.23</vt:lpstr>
      <vt:lpstr>ДЕТАЛИ.23</vt:lpstr>
      <vt:lpstr>'Шахматка (2)'!ДЕТАЛИ.24</vt:lpstr>
      <vt:lpstr>ДЕТАЛИ.24</vt:lpstr>
      <vt:lpstr>'Шахматка (2)'!ДЕТАЛИ.25</vt:lpstr>
      <vt:lpstr>ДЕТАЛИ.25</vt:lpstr>
      <vt:lpstr>'Шахматка (2)'!ДЕТАЛИ.26</vt:lpstr>
      <vt:lpstr>ДЕТАЛИ.26</vt:lpstr>
      <vt:lpstr>'Шахматка (2)'!ДЕТАЛИ.27</vt:lpstr>
      <vt:lpstr>ДЕТАЛИ.27</vt:lpstr>
      <vt:lpstr>'Шахматка (2)'!ДЕТАЛИ.28</vt:lpstr>
      <vt:lpstr>ДЕТАЛИ.28</vt:lpstr>
      <vt:lpstr>'Шахматка (2)'!ДЕТАЛИ.29</vt:lpstr>
      <vt:lpstr>ДЕТАЛИ.29</vt:lpstr>
      <vt:lpstr>'Шахматка (2)'!ДЕТАЛИ.3</vt:lpstr>
      <vt:lpstr>ДЕТАЛИ.3</vt:lpstr>
      <vt:lpstr>'Шахматка (2)'!ДЕТАЛИ.30</vt:lpstr>
      <vt:lpstr>ДЕТАЛИ.30</vt:lpstr>
      <vt:lpstr>'Шахматка (2)'!ДЕТАЛИ.31</vt:lpstr>
      <vt:lpstr>ДЕТАЛИ.31</vt:lpstr>
      <vt:lpstr>'Шахматка (2)'!ДЕТАЛИ.32</vt:lpstr>
      <vt:lpstr>ДЕТАЛИ.32</vt:lpstr>
      <vt:lpstr>'Шахматка (2)'!ДЕТАЛИ.33</vt:lpstr>
      <vt:lpstr>ДЕТАЛИ.33</vt:lpstr>
      <vt:lpstr>'Шахматка (2)'!ДЕТАЛИ.34</vt:lpstr>
      <vt:lpstr>ДЕТАЛИ.34</vt:lpstr>
      <vt:lpstr>'Шахматка (2)'!ДЕТАЛИ.35</vt:lpstr>
      <vt:lpstr>ДЕТАЛИ.35</vt:lpstr>
      <vt:lpstr>'Шахматка (2)'!ДЕТАЛИ.36</vt:lpstr>
      <vt:lpstr>ДЕТАЛИ.36</vt:lpstr>
      <vt:lpstr>'Шахматка (2)'!ДЕТАЛИ.37</vt:lpstr>
      <vt:lpstr>ДЕТАЛИ.37</vt:lpstr>
      <vt:lpstr>'Шахматка (2)'!ДЕТАЛИ.38</vt:lpstr>
      <vt:lpstr>ДЕТАЛИ.38</vt:lpstr>
      <vt:lpstr>'Шахматка (2)'!ДЕТАЛИ.39</vt:lpstr>
      <vt:lpstr>ДЕТАЛИ.39</vt:lpstr>
      <vt:lpstr>'Шахматка (2)'!ДЕТАЛИ.4</vt:lpstr>
      <vt:lpstr>ДЕТАЛИ.4</vt:lpstr>
      <vt:lpstr>'Шахматка (2)'!ДЕТАЛИ.40</vt:lpstr>
      <vt:lpstr>ДЕТАЛИ.40</vt:lpstr>
      <vt:lpstr>'Шахматка (2)'!ДЕТАЛИ.41</vt:lpstr>
      <vt:lpstr>ДЕТАЛИ.41</vt:lpstr>
      <vt:lpstr>'Шахматка (2)'!ДЕТАЛИ.42</vt:lpstr>
      <vt:lpstr>'Шахматка (2)'!ДЕТАЛИ.43</vt:lpstr>
      <vt:lpstr>ДЕТАЛИ.43</vt:lpstr>
      <vt:lpstr>'Шахматка (2)'!ДЕТАЛИ.44</vt:lpstr>
      <vt:lpstr>ДЕТАЛИ.44</vt:lpstr>
      <vt:lpstr>'Шахматка (2)'!ДЕТАЛИ.45</vt:lpstr>
      <vt:lpstr>ДЕТАЛИ.45</vt:lpstr>
      <vt:lpstr>'Шахматка (2)'!ДЕТАЛИ.46</vt:lpstr>
      <vt:lpstr>ДЕТАЛИ.46</vt:lpstr>
      <vt:lpstr>'Шахматка (2)'!ДЕТАЛИ.47</vt:lpstr>
      <vt:lpstr>'Шахматка (2)'!ДЕТАЛИ.5</vt:lpstr>
      <vt:lpstr>ДЕТАЛИ.5</vt:lpstr>
      <vt:lpstr>'Шахматка (2)'!ДЕТАЛИ.6</vt:lpstr>
      <vt:lpstr>ДЕТАЛИ.6</vt:lpstr>
      <vt:lpstr>'Шахматка (2)'!ДЕТАЛИ.7</vt:lpstr>
      <vt:lpstr>ДЕТАЛИ.7</vt:lpstr>
      <vt:lpstr>'Шахматка (2)'!ДЕТАЛИ.8</vt:lpstr>
      <vt:lpstr>ДЕТАЛИ.8</vt:lpstr>
      <vt:lpstr>'Шахматка (2)'!ДЕТАЛИ.9</vt:lpstr>
      <vt:lpstr>ДЕТАЛИ.9</vt:lpstr>
      <vt:lpstr>'Шахматка (2)'!Итого</vt:lpstr>
      <vt:lpstr>Итого</vt:lpstr>
      <vt:lpstr>'Шахматка (2)'!ИтогоОснИсп</vt:lpstr>
      <vt:lpstr>ИтогоОснИсп</vt:lpstr>
      <vt:lpstr>'Шахматка (2)'!ИтогоСотр</vt:lpstr>
      <vt:lpstr>ИтогоСотр</vt:lpstr>
      <vt:lpstr>'Шахматка (2)'!ИтогоСтавок</vt:lpstr>
      <vt:lpstr>ИтогоСтавок</vt:lpstr>
      <vt:lpstr>'Шахматка (2)'!ФПВидамРасчетов</vt:lpstr>
      <vt:lpstr>ФПВидамРасчетов</vt:lpstr>
      <vt:lpstr>'Шахматка (2)'!ФПВыплатам</vt:lpstr>
      <vt:lpstr>ФПВыплатам</vt:lpstr>
      <vt:lpstr>'Шахматка (2)'!ФПГрупИспДолж</vt:lpstr>
      <vt:lpstr>ФПГрупИспДолж</vt:lpstr>
      <vt:lpstr>'Шахматка (2)'!ФПГруппамВыплат</vt:lpstr>
      <vt:lpstr>ФПГруппамВыплат</vt:lpstr>
      <vt:lpstr>'Шахматка (2)'!ФПГруппировкаВыплат</vt:lpstr>
      <vt:lpstr>ФПГруппировкаВыплат</vt:lpstr>
      <vt:lpstr>'Шахматка (2)'!ФППериодВ</vt:lpstr>
      <vt:lpstr>ФППериодВ</vt:lpstr>
      <vt:lpstr>'Шахматка (2)'!ФППериодЗА</vt:lpstr>
      <vt:lpstr>ФППериодЗА</vt:lpstr>
      <vt:lpstr>'Шахматка (2)'!ФППО</vt:lpstr>
      <vt:lpstr>ФППО</vt:lpstr>
      <vt:lpstr>'Шахматка (2)'!ФППромИтоги</vt:lpstr>
      <vt:lpstr>ФППромИтоги</vt:lpstr>
      <vt:lpstr>'Шахматка (2)'!ФПЧасДни</vt:lpstr>
      <vt:lpstr>ФПЧасДни</vt:lpstr>
    </vt:vector>
  </TitlesOfParts>
  <Company>parus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osipenko</dc:creator>
  <dc:description>&lt;p&gt;&lt;i&gt;&lt;n&gt;FP_VIDYRASCHETOV&lt;/n&gt;&lt;t&gt;0&lt;/t&gt;&lt;q&gt;%CF%EE+%E2%E8%E4%E0%EC+%F0%E0%F1%F7%E5%F2%EE%E2&lt;/q&gt;&lt;s&gt;17&lt;/s&gt;&lt;l&gt;2&lt;/l&gt;&lt;u&gt;SalaryCalcTypes&lt;/u&gt;&lt;a&gt;pos_slclctyp_code&lt;/a&gt;&lt;b&gt;slclctyp_code&lt;/b&gt;&lt;m&gt;dictionary&lt;/m&gt;&lt;r&gt;0&lt;/r&gt;&lt;x&gt;&lt;/x&gt;&lt;y&gt;&lt;/y&gt;&lt;z&gt;FP_VIDYRASCHETOV&lt;/z&gt;&lt;/i&gt;&lt;i&gt;&lt;n&gt;FP_GRUPPYVYPLAT&lt;/n&gt;&lt;t&gt;0&lt;/t&gt;&lt;q&gt;%CF%EE+%E3%F0%F3%EF%EF%E0%EC+%E2%FB%EF%EB%E0%F2&lt;/q&gt;&lt;s&gt;15&lt;/s&gt;&lt;l&gt;2&lt;/l&gt;&lt;u&gt;SalaryCompensationGroups&lt;/u&gt;&lt;a&gt;pos_slcompgr_code&lt;/a&gt;&lt;b&gt;slcompgr_code&lt;/b&gt;&lt;m&gt;dictionary&lt;/m&gt;&lt;r&gt;0&lt;/r&gt;&lt;x&gt;&lt;/x&gt;&lt;y&gt;&lt;/y&gt;&lt;z&gt;FP_GRUPPYVYPLAT&lt;/z&gt;&lt;/i&gt;&lt;i&gt;&lt;n&gt;FP_VYPLATY&lt;/n&gt;&lt;t&gt;0&lt;/t&gt;&lt;q&gt;%CF%EE+%E2%FB%EF%EB%E0%F2%E0%EC&lt;/q&gt;&lt;s&gt;12&lt;/s&gt;&lt;l&gt;2&lt;/l&gt;&lt;u&gt;SalaryCompensationsCharges&lt;/u&gt;&lt;a&gt;pos_slcompch_code&lt;/a&gt;&lt;b&gt;slcompch_code&lt;/b&gt;&lt;m&gt;dictionary&lt;/m&gt;&lt;r&gt;0&lt;/r&gt;&lt;x&gt;&lt;/x&gt;&lt;y&gt;&lt;/y&gt;&lt;z&gt;FP_VYPLATY&lt;/z&gt;&lt;/i&gt;&lt;i&gt;&lt;n&gt;FP_TYPCHASA&lt;/n&gt;&lt;t&gt;0&lt;/t&gt;&lt;q&gt;%D2%E8%EF+%F7%E0%F1%E0&lt;/q&gt;&lt;s&gt;25&lt;/s&gt;&lt;l&gt;2&lt;/l&gt;&lt;u&gt;SalaryHoursTypes&lt;/u&gt;&lt;a&gt;pos_code&lt;/a&gt;&lt;b&gt;code&lt;/b&gt;&lt;m&gt;normal&lt;/m&gt;&lt;r&gt;0&lt;/r&gt;&lt;x&gt;&lt;/x&gt;&lt;y&gt;&lt;/y&gt;&lt;z&gt;FP_TYPCHASA&lt;/z&gt;&lt;/i&gt;&lt;i&gt;&lt;n&gt;FP_AVANS&lt;/n&gt;&lt;t&gt;3&lt;/t&gt;&lt;q&gt;%C0%E2%E0%ED%F1%FB&lt;/q&gt;&lt;s&gt;10&lt;/s&gt;&lt;l&gt;0&lt;/l&gt;&lt;u&gt;&lt;/u&gt;&lt;a&gt;&lt;/a&gt;&lt;b&gt;&lt;/b&gt;&lt;m&gt;&lt;/m&gt;&lt;r&gt;1&lt;/r&gt;&lt;x&gt;&lt;/x&gt;&lt;y&gt;&lt;/y&gt;&lt;z&gt;FP_AVANS&lt;/z&gt;&lt;/i&gt;&lt;i&gt;&lt;n&gt;FP_BKV&lt;/n&gt;&lt;t&gt;3&lt;/t&gt;&lt;q&gt;%D1+%EA%EE%ED%F4%E8%E4%E5%ED%F6%E8%E0%EB%FC%ED%FB%EC%E8+%E2%FB%EF%EB%E0%F2%E0%EC%E8&lt;/q&gt;&lt;s&gt;22&lt;/s&gt;&lt;l&gt;0&lt;/l&gt;&lt;u&gt;&lt;/u&gt;&lt;a&gt;&lt;/a&gt;&lt;b&gt;&lt;/b&gt;&lt;m&gt;&lt;/m&gt;&lt;r&gt;1&lt;/r&gt;&lt;x&gt;&lt;/x&gt;&lt;y&gt;&lt;/y&gt;&lt;z&gt;FP_BKV&lt;/z&gt;&lt;/i&gt;&lt;i&gt;&lt;n&gt;FP_DATAPO&lt;/n&gt;&lt;t&gt;4&lt;/t&gt;&lt;q&gt;%C4%E0%F2%E0+"%E2"+%EF%EE&lt;/q&gt;&lt;s&gt;2&lt;/s&gt;&lt;l&gt;0&lt;/l&gt;&lt;u&gt;&lt;/u&gt;&lt;a&gt;&lt;/a&gt;&lt;b&gt;&lt;/b&gt;&lt;m&gt;&lt;/m&gt;&lt;r&gt;1&lt;/r&gt;&lt;x&gt;&lt;/x&gt;&lt;y&gt;&lt;/y&gt;&lt;z&gt;FP_DATAPO&lt;/z&gt;&lt;/i&gt;&lt;i&gt;&lt;n&gt;FP_DATAS&lt;/n&gt;&lt;t&gt;4&lt;/t&gt;&lt;q&gt;%C4%E0%F2%E0+"%E2"+%F1&lt;/q&gt;&lt;s&gt;1&lt;/s&gt;&lt;l&gt;0&lt;/l&gt;&lt;u&gt;&lt;/u&gt;&lt;a&gt;&lt;/a&gt;&lt;b&gt;&lt;/b&gt;&lt;m&gt;&lt;/m&gt;&lt;r&gt;1&lt;/r&gt;&lt;x&gt;&lt;/x&gt;&lt;y&gt;&lt;/y&gt;&lt;z&gt;FP_DATAS&lt;/z&gt;&lt;/i&gt;&lt;i&gt;&lt;n&gt;FP_DATAZAPO&lt;/n&gt;&lt;t&gt;4&lt;/t&gt;&lt;q&gt;%C4%E0%F2%E0+"%E7%E0"+%EF%EE&lt;/q&gt;&lt;s&gt;21&lt;/s&gt;&lt;l&gt;0&lt;/l&gt;&lt;u&gt;&lt;/u&gt;&lt;a&gt;&lt;/a&gt;&lt;b&gt;&lt;/b&gt;&lt;m&gt;&lt;/m&gt;&lt;r&gt;0&lt;/r&gt;&lt;x&gt;&lt;/x&gt;&lt;y&gt;&lt;/y&gt;&lt;z&gt;FP_DATAZAPO&lt;/z&gt;&lt;/i&gt;&lt;i&gt;&lt;n&gt;FP_DATAZAS&lt;/n&gt;&lt;t&gt;4&lt;/t&gt;&lt;q&gt;%C4%E0%F2%E0+"%E7%E0"+%F1&lt;/q&gt;&lt;s&gt;20&lt;/s&gt;&lt;l&gt;0&lt;/l&gt;&lt;u&gt;&lt;/u&gt;&lt;a&gt;&lt;/a&gt;&lt;b&gt;&lt;/b&gt;&lt;m&gt;&lt;/m&gt;&lt;r&gt;0&lt;/r&gt;&lt;x&gt;&lt;/x&gt;&lt;y&gt;&lt;/y&gt;&lt;z&gt;FP_DATAZAS&lt;/z&gt;&lt;/i&gt;&lt;i&gt;&lt;n&gt;FP_GRUPISPDOLJ&lt;/n&gt;&lt;t&gt;0&lt;/t&gt;&lt;q&gt;%C3%F0%F3%EF%EF%E8%F0%EE%E2%EA%E0+%E8%F1%EF%EE%EB%ED%E5%ED%E8%E9+%E4%EE%EB%E6%ED%EE%F1%F2%E5%E9&lt;/q&gt;&lt;s&gt;18&lt;/s&gt;&lt;l&gt;5&lt;/l&gt;&lt;u&gt;&lt;/u&gt;&lt;a&gt;&lt;/a&gt;&lt;b&gt;&lt;/b&gt;&lt;m&gt;&lt;/m&gt;&lt;r&gt;1&lt;/r&gt;&lt;x&gt;GrupIspDolj&lt;/x&gt;&lt;y&gt;&lt;/y&gt;&lt;z&gt;FP_GRUPISPDOLJ&lt;/z&gt;&lt;/i&gt;&lt;i&gt;&lt;n&gt;FP_GRUPPIROVKA&lt;/n&gt;&lt;t&gt;0&lt;/t&gt;&lt;q&gt;%C3%F</dc:description>
  <cp:lastModifiedBy>Yurgenich</cp:lastModifiedBy>
  <cp:lastPrinted>2023-03-06T14:49:49Z</cp:lastPrinted>
  <dcterms:created xsi:type="dcterms:W3CDTF">1999-05-25T15:12:24Z</dcterms:created>
  <dcterms:modified xsi:type="dcterms:W3CDTF">2023-03-07T05:19:47Z</dcterms:modified>
</cp:coreProperties>
</file>